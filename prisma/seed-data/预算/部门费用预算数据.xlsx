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gener\Desktop\"/>
    </mc:Choice>
  </mc:AlternateContent>
  <xr:revisionPtr revIDLastSave="0" documentId="13_ncr:1_{1ECAA840-FDB6-4996-82FB-3E90EE8A49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45" i="1" l="1"/>
  <c r="N145" i="1"/>
  <c r="M145" i="1"/>
  <c r="L145" i="1"/>
  <c r="K145" i="1"/>
  <c r="J145" i="1"/>
  <c r="I145" i="1"/>
  <c r="H145" i="1"/>
  <c r="G145" i="1"/>
  <c r="F145" i="1"/>
  <c r="E145" i="1"/>
  <c r="D145" i="1"/>
  <c r="C144" i="1"/>
  <c r="C143" i="1"/>
  <c r="C142" i="1"/>
  <c r="C141" i="1"/>
  <c r="C140" i="1"/>
  <c r="C139" i="1"/>
  <c r="C138" i="1"/>
  <c r="C137" i="1"/>
  <c r="C136" i="1"/>
  <c r="C135" i="1"/>
  <c r="C134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H120" i="1"/>
  <c r="C119" i="1"/>
  <c r="C118" i="1"/>
  <c r="C117" i="1"/>
  <c r="C116" i="1"/>
  <c r="O115" i="1"/>
  <c r="L115" i="1"/>
  <c r="I115" i="1"/>
  <c r="F115" i="1"/>
  <c r="C115" i="1" s="1"/>
  <c r="C114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O112" i="1"/>
  <c r="N112" i="1"/>
  <c r="M112" i="1"/>
  <c r="L112" i="1"/>
  <c r="K112" i="1"/>
  <c r="J112" i="1"/>
  <c r="I112" i="1"/>
  <c r="H112" i="1"/>
  <c r="G112" i="1"/>
  <c r="G120" i="1" s="1"/>
  <c r="F112" i="1"/>
  <c r="F120" i="1" s="1"/>
  <c r="E112" i="1"/>
  <c r="D112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0" i="1"/>
  <c r="C109" i="1"/>
  <c r="C108" i="1"/>
  <c r="C107" i="1"/>
  <c r="C106" i="1"/>
  <c r="C105" i="1"/>
  <c r="C104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2" i="1"/>
  <c r="C101" i="1"/>
  <c r="C100" i="1"/>
  <c r="C99" i="1"/>
  <c r="C98" i="1"/>
  <c r="C97" i="1"/>
  <c r="C96" i="1"/>
  <c r="C95" i="1"/>
  <c r="C94" i="1"/>
  <c r="C93" i="1"/>
  <c r="O92" i="1"/>
  <c r="N92" i="1"/>
  <c r="M92" i="1"/>
  <c r="L92" i="1"/>
  <c r="K92" i="1"/>
  <c r="J92" i="1"/>
  <c r="I92" i="1"/>
  <c r="H92" i="1"/>
  <c r="G92" i="1"/>
  <c r="F92" i="1"/>
  <c r="E92" i="1"/>
  <c r="D92" i="1"/>
  <c r="C91" i="1"/>
  <c r="C90" i="1"/>
  <c r="C89" i="1"/>
  <c r="C88" i="1"/>
  <c r="C87" i="1"/>
  <c r="C86" i="1"/>
  <c r="O85" i="1"/>
  <c r="N85" i="1"/>
  <c r="M85" i="1"/>
  <c r="L85" i="1"/>
  <c r="K85" i="1"/>
  <c r="J85" i="1"/>
  <c r="I85" i="1"/>
  <c r="H85" i="1"/>
  <c r="G85" i="1"/>
  <c r="F85" i="1"/>
  <c r="E85" i="1"/>
  <c r="D85" i="1"/>
  <c r="C84" i="1"/>
  <c r="C83" i="1"/>
  <c r="C82" i="1"/>
  <c r="C81" i="1"/>
  <c r="C80" i="1"/>
  <c r="C79" i="1"/>
  <c r="L78" i="1"/>
  <c r="D78" i="1"/>
  <c r="C77" i="1"/>
  <c r="O76" i="1"/>
  <c r="N76" i="1"/>
  <c r="M76" i="1"/>
  <c r="L76" i="1"/>
  <c r="K76" i="1"/>
  <c r="J76" i="1"/>
  <c r="I76" i="1"/>
  <c r="H76" i="1"/>
  <c r="G76" i="1"/>
  <c r="F76" i="1"/>
  <c r="E76" i="1"/>
  <c r="D76" i="1"/>
  <c r="C75" i="1"/>
  <c r="C74" i="1"/>
  <c r="C73" i="1"/>
  <c r="O72" i="1"/>
  <c r="N72" i="1"/>
  <c r="N78" i="1" s="1"/>
  <c r="M72" i="1"/>
  <c r="L72" i="1"/>
  <c r="K72" i="1"/>
  <c r="J72" i="1"/>
  <c r="I72" i="1"/>
  <c r="H72" i="1"/>
  <c r="G72" i="1"/>
  <c r="F72" i="1"/>
  <c r="E72" i="1"/>
  <c r="D72" i="1"/>
  <c r="C71" i="1"/>
  <c r="C70" i="1"/>
  <c r="C69" i="1"/>
  <c r="C68" i="1"/>
  <c r="C67" i="1"/>
  <c r="C66" i="1"/>
  <c r="C65" i="1"/>
  <c r="C64" i="1"/>
  <c r="O63" i="1"/>
  <c r="N63" i="1"/>
  <c r="M63" i="1"/>
  <c r="L63" i="1"/>
  <c r="K63" i="1"/>
  <c r="J63" i="1"/>
  <c r="I63" i="1"/>
  <c r="H63" i="1"/>
  <c r="G63" i="1"/>
  <c r="F63" i="1"/>
  <c r="E63" i="1"/>
  <c r="D63" i="1"/>
  <c r="C62" i="1"/>
  <c r="C63" i="1" s="1"/>
  <c r="O61" i="1"/>
  <c r="N61" i="1"/>
  <c r="M61" i="1"/>
  <c r="L61" i="1"/>
  <c r="K61" i="1"/>
  <c r="J61" i="1"/>
  <c r="I61" i="1"/>
  <c r="H61" i="1"/>
  <c r="G61" i="1"/>
  <c r="F61" i="1"/>
  <c r="E61" i="1"/>
  <c r="D61" i="1"/>
  <c r="C60" i="1"/>
  <c r="C59" i="1"/>
  <c r="C58" i="1"/>
  <c r="C57" i="1"/>
  <c r="C56" i="1"/>
  <c r="C55" i="1"/>
  <c r="C54" i="1"/>
  <c r="O53" i="1"/>
  <c r="N53" i="1"/>
  <c r="M53" i="1"/>
  <c r="L53" i="1"/>
  <c r="K53" i="1"/>
  <c r="J53" i="1"/>
  <c r="I53" i="1"/>
  <c r="H53" i="1"/>
  <c r="G53" i="1"/>
  <c r="F53" i="1"/>
  <c r="E53" i="1"/>
  <c r="D53" i="1"/>
  <c r="C52" i="1"/>
  <c r="C51" i="1"/>
  <c r="C50" i="1"/>
  <c r="C49" i="1"/>
  <c r="C48" i="1"/>
  <c r="C47" i="1"/>
  <c r="C46" i="1"/>
  <c r="O45" i="1"/>
  <c r="N45" i="1"/>
  <c r="M45" i="1"/>
  <c r="L45" i="1"/>
  <c r="K45" i="1"/>
  <c r="J45" i="1"/>
  <c r="I45" i="1"/>
  <c r="H45" i="1"/>
  <c r="G45" i="1"/>
  <c r="F45" i="1"/>
  <c r="E45" i="1"/>
  <c r="D45" i="1"/>
  <c r="C44" i="1"/>
  <c r="C43" i="1"/>
  <c r="C42" i="1"/>
  <c r="C41" i="1"/>
  <c r="C40" i="1"/>
  <c r="C39" i="1"/>
  <c r="C38" i="1"/>
  <c r="C37" i="1"/>
  <c r="O36" i="1"/>
  <c r="N36" i="1"/>
  <c r="M36" i="1"/>
  <c r="L36" i="1"/>
  <c r="K36" i="1"/>
  <c r="J36" i="1"/>
  <c r="I36" i="1"/>
  <c r="H36" i="1"/>
  <c r="G36" i="1"/>
  <c r="F36" i="1"/>
  <c r="E36" i="1"/>
  <c r="D36" i="1"/>
  <c r="C35" i="1"/>
  <c r="C34" i="1"/>
  <c r="C33" i="1"/>
  <c r="C32" i="1"/>
  <c r="C31" i="1"/>
  <c r="C30" i="1"/>
  <c r="O29" i="1"/>
  <c r="N29" i="1"/>
  <c r="M29" i="1"/>
  <c r="L29" i="1"/>
  <c r="K29" i="1"/>
  <c r="J29" i="1"/>
  <c r="I29" i="1"/>
  <c r="H29" i="1"/>
  <c r="G29" i="1"/>
  <c r="F29" i="1"/>
  <c r="E29" i="1"/>
  <c r="D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O11" i="1"/>
  <c r="N11" i="1"/>
  <c r="M11" i="1"/>
  <c r="L11" i="1"/>
  <c r="K11" i="1"/>
  <c r="J11" i="1"/>
  <c r="I11" i="1"/>
  <c r="H11" i="1"/>
  <c r="G11" i="1"/>
  <c r="F11" i="1"/>
  <c r="E11" i="1"/>
  <c r="D11" i="1"/>
  <c r="C10" i="1"/>
  <c r="C9" i="1"/>
  <c r="C8" i="1"/>
  <c r="C7" i="1"/>
  <c r="C6" i="1"/>
  <c r="C5" i="1"/>
  <c r="C4" i="1"/>
  <c r="G78" i="1" l="1"/>
  <c r="H78" i="1"/>
  <c r="I78" i="1"/>
  <c r="J78" i="1"/>
  <c r="K78" i="1"/>
  <c r="E120" i="1"/>
  <c r="C45" i="1"/>
  <c r="M78" i="1"/>
  <c r="C85" i="1"/>
  <c r="C112" i="1"/>
  <c r="O78" i="1"/>
  <c r="C92" i="1"/>
  <c r="J120" i="1"/>
  <c r="K120" i="1"/>
  <c r="L120" i="1"/>
  <c r="C36" i="1"/>
  <c r="C145" i="1"/>
  <c r="C53" i="1"/>
  <c r="D120" i="1"/>
  <c r="C111" i="1"/>
  <c r="C103" i="1"/>
  <c r="M120" i="1"/>
  <c r="N120" i="1"/>
  <c r="O120" i="1"/>
  <c r="C133" i="1"/>
  <c r="C61" i="1"/>
  <c r="C76" i="1"/>
  <c r="C29" i="1"/>
  <c r="E78" i="1"/>
  <c r="F78" i="1"/>
  <c r="C11" i="1"/>
  <c r="C113" i="1"/>
  <c r="I120" i="1"/>
  <c r="C72" i="1"/>
  <c r="C78" i="1" l="1"/>
  <c r="C120" i="1"/>
</calcChain>
</file>

<file path=xl/sharedStrings.xml><?xml version="1.0" encoding="utf-8"?>
<sst xmlns="http://schemas.openxmlformats.org/spreadsheetml/2006/main" count="439" uniqueCount="77">
  <si>
    <t>单位：万元</t>
  </si>
  <si>
    <t>部门</t>
  </si>
  <si>
    <t>科目</t>
  </si>
  <si>
    <t>合计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</si>
  <si>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</si>
  <si>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</si>
  <si>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</si>
  <si>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</si>
  <si>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</si>
  <si>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</si>
  <si>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</si>
  <si>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</si>
  <si>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</si>
  <si>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</si>
  <si>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</si>
  <si>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</si>
  <si>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费用类型</t>
  </si>
  <si>
    <t>上海研发中心/北美研究院</t>
  </si>
  <si>
    <t>差旅费</t>
  </si>
  <si>
    <t>研发费用</t>
  </si>
  <si>
    <t>业务招待费</t>
  </si>
  <si>
    <t>通讯费</t>
  </si>
  <si>
    <t>会议费</t>
  </si>
  <si>
    <t>交通费用</t>
  </si>
  <si>
    <t>其他</t>
  </si>
  <si>
    <t>房屋租赁费</t>
  </si>
  <si>
    <t>行政人事部</t>
  </si>
  <si>
    <t>管理费用</t>
  </si>
  <si>
    <t>董事会费</t>
  </si>
  <si>
    <t>办公费</t>
  </si>
  <si>
    <t>车辆费用</t>
  </si>
  <si>
    <t>水电费</t>
  </si>
  <si>
    <t>物业费</t>
  </si>
  <si>
    <t>维修费</t>
  </si>
  <si>
    <t>绿化费</t>
  </si>
  <si>
    <t>排污费</t>
  </si>
  <si>
    <t>招聘服务费</t>
  </si>
  <si>
    <t>培训费</t>
  </si>
  <si>
    <t>采供及公关部</t>
  </si>
  <si>
    <t>IT部</t>
  </si>
  <si>
    <t>服务器费用</t>
  </si>
  <si>
    <t>第三方平台服务费</t>
  </si>
  <si>
    <t>企业软件服务费</t>
  </si>
  <si>
    <t>法务合规</t>
  </si>
  <si>
    <t>诉讼费</t>
  </si>
  <si>
    <t>第三方律师费</t>
  </si>
  <si>
    <t>董秘</t>
  </si>
  <si>
    <t>重点项目管理</t>
  </si>
  <si>
    <t>财务部</t>
  </si>
  <si>
    <t>福利费</t>
  </si>
  <si>
    <t>用友软件服务费</t>
  </si>
  <si>
    <t>IPO审计费用</t>
  </si>
  <si>
    <t>税务咨询费</t>
  </si>
  <si>
    <t>内控报告</t>
  </si>
  <si>
    <t>税金</t>
  </si>
  <si>
    <t>利息费用</t>
  </si>
  <si>
    <t>北京研发中心</t>
  </si>
  <si>
    <t>医学部</t>
  </si>
  <si>
    <t>销售部</t>
  </si>
  <si>
    <t>销售费用</t>
  </si>
  <si>
    <t>产品推介会</t>
  </si>
  <si>
    <t>大健康产品展会</t>
  </si>
  <si>
    <t>材料费</t>
  </si>
  <si>
    <t>广告费</t>
  </si>
  <si>
    <t>快递费</t>
  </si>
  <si>
    <t>资本证券部</t>
  </si>
  <si>
    <t>FA费用</t>
  </si>
  <si>
    <t>市场部</t>
  </si>
  <si>
    <t>推广费</t>
  </si>
  <si>
    <t>品牌建设费用</t>
  </si>
  <si>
    <t>IT事务部</t>
  </si>
  <si>
    <t>北京医学事务部</t>
  </si>
  <si>
    <t>北美研究院</t>
  </si>
  <si>
    <t>上海研发中心</t>
  </si>
  <si>
    <t>董秘及法务合规</t>
  </si>
  <si>
    <t>顾问</t>
  </si>
  <si>
    <t>薪资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</si>
</sst>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 * #,##0.00_ ;_ * \-#,##0.00_ ;_ * &quot;-&quot;??_ ;_ @_ "/>
    <numFmt numFmtId="176" formatCode="0.00_);[Red]\(0.00\)"/>
    <numFmt numFmtId="178" formatCode="#,##0.00_ "/>
  </numFmts>
  <fonts count="10" x14ac:knownFonts="1">
    <font>
      <sz val="11"/>
      <color theme="1"/>
      <name val="等线"/>
      <family val="2"/>
      <scheme val="minor"/>
    </font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theme="1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indexed="8"/>
      <name val="微软雅黑"/>
      <family val="2"/>
      <charset val="134"/>
    </font>
    <font>
      <b/>
      <sz val="9"/>
      <name val="微软雅黑"/>
      <family val="2"/>
      <charset val="134"/>
    </font>
    <font>
      <sz val="12"/>
      <name val="宋体"/>
      <family val="3"/>
      <charset val="134"/>
    </font>
    <font>
      <sz val="10"/>
      <name val="仿宋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>
      <alignment vertical="center"/>
    </xf>
    <xf numFmtId="0" fontId="8" fillId="0" borderId="0"/>
  </cellStyleXfs>
  <cellXfs count="31">
    <xf numFmtId="0" fontId="0" fillId="0" borderId="0" xfId="0"/>
    <xf numFmtId="0" fontId="3" fillId="0" borderId="0" xfId="0" applyFont="1"/>
    <xf numFmtId="176" fontId="3" fillId="0" borderId="0" xfId="0" applyNumberFormat="1" applyFont="1"/>
    <xf numFmtId="0" fontId="4" fillId="2" borderId="0" xfId="0" applyFont="1" applyFill="1" applyAlignment="1">
      <alignment horizontal="center"/>
    </xf>
    <xf numFmtId="176" fontId="4" fillId="2" borderId="0" xfId="0" applyNumberFormat="1" applyFont="1" applyFill="1" applyAlignment="1">
      <alignment horizontal="center"/>
    </xf>
    <xf numFmtId="176" fontId="4" fillId="2" borderId="0" xfId="0" applyNumberFormat="1" applyFont="1" applyFill="1" applyAlignment="1">
      <alignment horizontal="right"/>
    </xf>
    <xf numFmtId="0" fontId="3" fillId="2" borderId="0" xfId="0" applyFont="1" applyFill="1" applyAlignment="1">
      <alignment horizontal="right"/>
    </xf>
    <xf numFmtId="0" fontId="5" fillId="0" borderId="1" xfId="0" applyFont="1" applyBorder="1" applyAlignment="1" applyProtection="1">
      <alignment horizontal="left"/>
      <protection locked="0"/>
    </xf>
    <xf numFmtId="0" fontId="5" fillId="0" borderId="1" xfId="0" quotePrefix="1" applyFont="1" applyBorder="1" applyAlignment="1" applyProtection="1">
      <alignment horizontal="left"/>
      <protection locked="0"/>
    </xf>
    <xf numFmtId="176" fontId="3" fillId="0" borderId="1" xfId="0" applyNumberFormat="1" applyFont="1" applyBorder="1"/>
    <xf numFmtId="0" fontId="3" fillId="0" borderId="1" xfId="0" applyFont="1" applyBorder="1"/>
    <xf numFmtId="0" fontId="6" fillId="0" borderId="1" xfId="0" quotePrefix="1" applyFont="1" applyBorder="1" applyAlignment="1" applyProtection="1">
      <alignment horizontal="left"/>
      <protection locked="0"/>
    </xf>
    <xf numFmtId="176" fontId="3" fillId="0" borderId="1" xfId="1" applyNumberFormat="1" applyFont="1" applyBorder="1" applyAlignment="1"/>
    <xf numFmtId="0" fontId="7" fillId="3" borderId="1" xfId="0" applyFont="1" applyFill="1" applyBorder="1" applyAlignment="1" applyProtection="1">
      <alignment horizontal="left"/>
      <protection locked="0"/>
    </xf>
    <xf numFmtId="0" fontId="4" fillId="3" borderId="1" xfId="0" applyFont="1" applyFill="1" applyBorder="1"/>
    <xf numFmtId="176" fontId="4" fillId="3" borderId="1" xfId="1" applyNumberFormat="1" applyFont="1" applyFill="1" applyBorder="1" applyAlignment="1"/>
    <xf numFmtId="43" fontId="3" fillId="0" borderId="1" xfId="0" applyNumberFormat="1" applyFont="1" applyBorder="1"/>
    <xf numFmtId="176" fontId="3" fillId="4" borderId="1" xfId="0" applyNumberFormat="1" applyFont="1" applyFill="1" applyBorder="1"/>
    <xf numFmtId="176" fontId="9" fillId="0" borderId="1" xfId="2" applyNumberFormat="1" applyFont="1" applyBorder="1" applyAlignment="1" applyProtection="1">
      <alignment horizontal="center" vertical="center"/>
      <protection locked="0"/>
    </xf>
    <xf numFmtId="176" fontId="3" fillId="4" borderId="1" xfId="1" applyNumberFormat="1" applyFont="1" applyFill="1" applyBorder="1" applyAlignment="1"/>
    <xf numFmtId="176" fontId="4" fillId="3" borderId="2" xfId="1" applyNumberFormat="1" applyFont="1" applyFill="1" applyBorder="1" applyAlignment="1"/>
    <xf numFmtId="176" fontId="3" fillId="0" borderId="3" xfId="0" applyNumberFormat="1" applyFont="1" applyBorder="1"/>
    <xf numFmtId="0" fontId="4" fillId="4" borderId="1" xfId="0" applyFont="1" applyFill="1" applyBorder="1"/>
    <xf numFmtId="176" fontId="4" fillId="4" borderId="1" xfId="1" applyNumberFormat="1" applyFont="1" applyFill="1" applyBorder="1" applyAlignment="1"/>
    <xf numFmtId="176" fontId="4" fillId="3" borderId="3" xfId="1" applyNumberFormat="1" applyFont="1" applyFill="1" applyBorder="1" applyAlignment="1"/>
    <xf numFmtId="176" fontId="4" fillId="3" borderId="1" xfId="0" applyNumberFormat="1" applyFont="1" applyFill="1" applyBorder="1"/>
    <xf numFmtId="0" fontId="4" fillId="3" borderId="4" xfId="0" applyFont="1" applyFill="1" applyBorder="1"/>
    <xf numFmtId="176" fontId="4" fillId="3" borderId="4" xfId="1" applyNumberFormat="1" applyFont="1" applyFill="1" applyBorder="1" applyAlignment="1"/>
    <xf numFmtId="176" fontId="3" fillId="0" borderId="1" xfId="1" applyNumberFormat="1" applyFont="1" applyFill="1" applyBorder="1" applyAlignment="1"/>
    <xf numFmtId="0" fontId="4" fillId="3" borderId="2" xfId="0" applyFont="1" applyFill="1" applyBorder="1"/>
    <xf numFmtId="178" fontId="9" fillId="4" borderId="1" xfId="1" applyNumberFormat="1" applyFont="1" applyFill="1" applyBorder="1" applyAlignment="1">
      <alignment vertical="center" wrapText="1"/>
    </xf>
  </cellXfs>
  <cellStyles count="3">
    <cellStyle name="常规" xfId="0" builtinId="0"/>
    <cellStyle name="常规 2 3" xfId="2" xr:uid="{D04BC53B-6F4D-42D3-B6BB-97B4293AA9BD}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P145"/>
  <sheetViews>
    <sheetView tabSelected="1" topLeftCell="A120" workbookViewId="0">
      <selection activeCell="T125" sqref="T125"/>
    </sheetView>
  </sheetViews>
  <sheetFormatPr defaultColWidth="8.6640625" defaultRowHeight="13.2" x14ac:dyDescent="0.3"/>
  <cols>
    <col min="1" max="1" width="20" style="1" customWidth="1"/>
    <col min="2" max="2" width="14.44140625" style="1" customWidth="1"/>
    <col min="3" max="3" width="10.6640625" style="2" customWidth="1"/>
    <col min="4" max="4" width="9.5546875" style="2" customWidth="1"/>
    <col min="5" max="15" width="8.77734375" style="2" customWidth="1"/>
    <col min="16" max="16384" width="8.6640625" style="1"/>
  </cols>
  <sheetData>
    <row r="2" spans="1:16" x14ac:dyDescent="0.3">
      <c r="O2" s="2" t="s">
        <v>0</v>
      </c>
    </row>
    <row r="3" spans="1:16" x14ac:dyDescent="0.3">
      <c r="A3" s="3" t="s">
        <v>1</v>
      </c>
      <c r="B3" s="3" t="s">
        <v>2</v>
      </c>
      <c r="C3" s="4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8</v>
      </c>
      <c r="I3" s="5" t="s">
        <v>9</v>
      </c>
      <c r="J3" s="5" t="s">
        <v>10</v>
      </c>
      <c r="K3" s="5" t="s">
        <v>11</v>
      </c>
      <c r="L3" s="5" t="s">
        <v>12</v>
      </c>
      <c r="M3" s="5" t="s">
        <v>13</v>
      </c>
      <c r="N3" s="5" t="s">
        <v>14</v>
      </c>
      <c r="O3" s="5" t="s">
        <v>15</v>
      </c>
      <c r="P3" s="6" t="s">
        <v>16</v>
      </c>
    </row>
    <row r="4" spans="1:16" x14ac:dyDescent="0.3">
      <c r="A4" s="7" t="s">
        <v>17</v>
      </c>
      <c r="B4" s="8" t="s">
        <v>18</v>
      </c>
      <c r="C4" s="9">
        <f>SUM(D4:O4)</f>
        <v>30</v>
      </c>
      <c r="D4" s="9">
        <v>3</v>
      </c>
      <c r="E4" s="9">
        <v>2</v>
      </c>
      <c r="F4" s="9">
        <v>2</v>
      </c>
      <c r="G4" s="9">
        <v>3</v>
      </c>
      <c r="H4" s="9">
        <v>2</v>
      </c>
      <c r="I4" s="9">
        <v>2</v>
      </c>
      <c r="J4" s="9">
        <v>3</v>
      </c>
      <c r="K4" s="9">
        <v>2</v>
      </c>
      <c r="L4" s="9">
        <v>2</v>
      </c>
      <c r="M4" s="9">
        <v>3</v>
      </c>
      <c r="N4" s="9">
        <v>3</v>
      </c>
      <c r="O4" s="9">
        <v>3</v>
      </c>
      <c r="P4" s="1" t="s">
        <v>19</v>
      </c>
    </row>
    <row r="5" spans="1:16" x14ac:dyDescent="0.3">
      <c r="A5" s="7" t="s">
        <v>17</v>
      </c>
      <c r="B5" s="11" t="s">
        <v>20</v>
      </c>
      <c r="C5" s="9">
        <f t="shared" ref="C5:C78" si="0">SUM(D5:O5)</f>
        <v>7</v>
      </c>
      <c r="D5" s="9"/>
      <c r="E5" s="9">
        <v>1</v>
      </c>
      <c r="F5" s="9"/>
      <c r="G5" s="9">
        <v>1</v>
      </c>
      <c r="H5" s="9"/>
      <c r="I5" s="9">
        <v>1</v>
      </c>
      <c r="J5" s="9"/>
      <c r="K5" s="9">
        <v>1</v>
      </c>
      <c r="L5" s="9"/>
      <c r="M5" s="9">
        <v>1</v>
      </c>
      <c r="N5" s="9">
        <v>1</v>
      </c>
      <c r="O5" s="9">
        <v>1</v>
      </c>
      <c r="P5" s="1" t="s">
        <v>19</v>
      </c>
    </row>
    <row r="6" spans="1:16" x14ac:dyDescent="0.3">
      <c r="A6" s="7" t="s">
        <v>17</v>
      </c>
      <c r="B6" s="8" t="s">
        <v>21</v>
      </c>
      <c r="C6" s="9">
        <f t="shared" si="0"/>
        <v>1.7999999999999996</v>
      </c>
      <c r="D6" s="9">
        <v>0.15</v>
      </c>
      <c r="E6" s="9">
        <v>0.15</v>
      </c>
      <c r="F6" s="9">
        <v>0.15</v>
      </c>
      <c r="G6" s="9">
        <v>0.15</v>
      </c>
      <c r="H6" s="9">
        <v>0.15</v>
      </c>
      <c r="I6" s="9">
        <v>0.15</v>
      </c>
      <c r="J6" s="9">
        <v>0.15</v>
      </c>
      <c r="K6" s="9">
        <v>0.15</v>
      </c>
      <c r="L6" s="9">
        <v>0.15</v>
      </c>
      <c r="M6" s="9">
        <v>0.15</v>
      </c>
      <c r="N6" s="9">
        <v>0.15</v>
      </c>
      <c r="O6" s="9">
        <v>0.15</v>
      </c>
      <c r="P6" s="1" t="s">
        <v>19</v>
      </c>
    </row>
    <row r="7" spans="1:16" x14ac:dyDescent="0.3">
      <c r="A7" s="7" t="s">
        <v>17</v>
      </c>
      <c r="B7" s="8" t="s">
        <v>22</v>
      </c>
      <c r="C7" s="9">
        <f t="shared" si="0"/>
        <v>3</v>
      </c>
      <c r="D7" s="9">
        <v>1</v>
      </c>
      <c r="E7" s="9"/>
      <c r="F7" s="9"/>
      <c r="G7" s="9">
        <v>1</v>
      </c>
      <c r="H7" s="9"/>
      <c r="I7" s="9"/>
      <c r="J7" s="9"/>
      <c r="K7" s="9">
        <v>1</v>
      </c>
      <c r="L7" s="9"/>
      <c r="M7" s="9"/>
      <c r="N7" s="9"/>
      <c r="O7" s="9"/>
      <c r="P7" s="1" t="s">
        <v>19</v>
      </c>
    </row>
    <row r="8" spans="1:16" x14ac:dyDescent="0.3">
      <c r="A8" s="7" t="s">
        <v>17</v>
      </c>
      <c r="B8" s="8" t="s">
        <v>23</v>
      </c>
      <c r="C8" s="9">
        <f t="shared" si="0"/>
        <v>8.5999999999999979</v>
      </c>
      <c r="D8" s="9">
        <v>1</v>
      </c>
      <c r="E8" s="9">
        <v>0.6</v>
      </c>
      <c r="F8" s="9">
        <v>0.6</v>
      </c>
      <c r="G8" s="9">
        <v>0.8</v>
      </c>
      <c r="H8" s="9">
        <v>0.8</v>
      </c>
      <c r="I8" s="9">
        <v>0.8</v>
      </c>
      <c r="J8" s="9">
        <v>0.6</v>
      </c>
      <c r="K8" s="9">
        <v>0.6</v>
      </c>
      <c r="L8" s="9">
        <v>0.6</v>
      </c>
      <c r="M8" s="9">
        <v>1</v>
      </c>
      <c r="N8" s="9">
        <v>0.6</v>
      </c>
      <c r="O8" s="9">
        <v>0.6</v>
      </c>
      <c r="P8" s="1" t="s">
        <v>19</v>
      </c>
    </row>
    <row r="9" spans="1:16" x14ac:dyDescent="0.3">
      <c r="A9" s="7" t="s">
        <v>17</v>
      </c>
      <c r="B9" s="8" t="s">
        <v>24</v>
      </c>
      <c r="C9" s="9">
        <f t="shared" si="0"/>
        <v>9.5</v>
      </c>
      <c r="D9" s="9">
        <v>2</v>
      </c>
      <c r="E9" s="9">
        <v>0.5</v>
      </c>
      <c r="F9" s="9">
        <v>0.5</v>
      </c>
      <c r="G9" s="9">
        <v>0.5</v>
      </c>
      <c r="H9" s="9">
        <v>0.5</v>
      </c>
      <c r="I9" s="9">
        <v>2</v>
      </c>
      <c r="J9" s="9">
        <v>0.5</v>
      </c>
      <c r="K9" s="9">
        <v>1</v>
      </c>
      <c r="L9" s="9">
        <v>0.5</v>
      </c>
      <c r="M9" s="9">
        <v>0.5</v>
      </c>
      <c r="N9" s="9">
        <v>0.5</v>
      </c>
      <c r="O9" s="9">
        <v>0.5</v>
      </c>
      <c r="P9" s="1" t="s">
        <v>19</v>
      </c>
    </row>
    <row r="10" spans="1:16" x14ac:dyDescent="0.3">
      <c r="A10" s="7" t="s">
        <v>17</v>
      </c>
      <c r="B10" s="8" t="s">
        <v>25</v>
      </c>
      <c r="C10" s="12">
        <f t="shared" si="0"/>
        <v>12</v>
      </c>
      <c r="D10" s="9">
        <v>1</v>
      </c>
      <c r="E10" s="9">
        <v>1</v>
      </c>
      <c r="F10" s="9">
        <v>1</v>
      </c>
      <c r="G10" s="9">
        <v>1</v>
      </c>
      <c r="H10" s="9">
        <v>1</v>
      </c>
      <c r="I10" s="9">
        <v>1</v>
      </c>
      <c r="J10" s="9">
        <v>1</v>
      </c>
      <c r="K10" s="9">
        <v>1</v>
      </c>
      <c r="L10" s="9">
        <v>1</v>
      </c>
      <c r="M10" s="9">
        <v>1</v>
      </c>
      <c r="N10" s="9">
        <v>1</v>
      </c>
      <c r="O10" s="9">
        <v>1</v>
      </c>
      <c r="P10" s="1" t="s">
        <v>19</v>
      </c>
    </row>
    <row r="11" spans="1:16" x14ac:dyDescent="0.3">
      <c r="A11" s="13" t="s">
        <v>17</v>
      </c>
      <c r="B11" s="14" t="s">
        <v>3</v>
      </c>
      <c r="C11" s="15">
        <f t="shared" si="0"/>
        <v>71.900000000000006</v>
      </c>
      <c r="D11" s="15">
        <f t="shared" ref="D11:O11" si="1">SUM(D4:D10)</f>
        <v>8.15</v>
      </c>
      <c r="E11" s="15">
        <f t="shared" si="1"/>
        <v>5.25</v>
      </c>
      <c r="F11" s="15">
        <f t="shared" si="1"/>
        <v>4.25</v>
      </c>
      <c r="G11" s="15">
        <f t="shared" si="1"/>
        <v>7.45</v>
      </c>
      <c r="H11" s="15">
        <f t="shared" si="1"/>
        <v>4.45</v>
      </c>
      <c r="I11" s="15">
        <f t="shared" si="1"/>
        <v>6.95</v>
      </c>
      <c r="J11" s="15">
        <f t="shared" si="1"/>
        <v>5.25</v>
      </c>
      <c r="K11" s="15">
        <f t="shared" si="1"/>
        <v>6.75</v>
      </c>
      <c r="L11" s="15">
        <f t="shared" si="1"/>
        <v>4.25</v>
      </c>
      <c r="M11" s="15">
        <f t="shared" si="1"/>
        <v>6.65</v>
      </c>
      <c r="N11" s="15">
        <f t="shared" si="1"/>
        <v>6.25</v>
      </c>
      <c r="O11" s="15">
        <f t="shared" si="1"/>
        <v>6.25</v>
      </c>
      <c r="P11" s="1" t="s">
        <v>19</v>
      </c>
    </row>
    <row r="12" spans="1:16" x14ac:dyDescent="0.3">
      <c r="A12" s="10" t="s">
        <v>26</v>
      </c>
      <c r="B12" s="8" t="s">
        <v>18</v>
      </c>
      <c r="C12" s="9">
        <f t="shared" si="0"/>
        <v>12</v>
      </c>
      <c r="D12" s="16">
        <v>1</v>
      </c>
      <c r="E12" s="16">
        <v>1</v>
      </c>
      <c r="F12" s="16">
        <v>1</v>
      </c>
      <c r="G12" s="16">
        <v>1</v>
      </c>
      <c r="H12" s="16">
        <v>1</v>
      </c>
      <c r="I12" s="16">
        <v>1</v>
      </c>
      <c r="J12" s="16">
        <v>1</v>
      </c>
      <c r="K12" s="16">
        <v>1</v>
      </c>
      <c r="L12" s="16">
        <v>1</v>
      </c>
      <c r="M12" s="16">
        <v>1</v>
      </c>
      <c r="N12" s="16">
        <v>1</v>
      </c>
      <c r="O12" s="16">
        <v>1</v>
      </c>
      <c r="P12" s="1" t="s">
        <v>27</v>
      </c>
    </row>
    <row r="13" spans="1:16" x14ac:dyDescent="0.3">
      <c r="A13" s="10" t="s">
        <v>26</v>
      </c>
      <c r="B13" s="11" t="s">
        <v>20</v>
      </c>
      <c r="C13" s="9">
        <f t="shared" si="0"/>
        <v>132</v>
      </c>
      <c r="D13" s="16">
        <v>11</v>
      </c>
      <c r="E13" s="16">
        <v>11</v>
      </c>
      <c r="F13" s="16">
        <v>11</v>
      </c>
      <c r="G13" s="16">
        <v>11</v>
      </c>
      <c r="H13" s="16">
        <v>11</v>
      </c>
      <c r="I13" s="16">
        <v>11</v>
      </c>
      <c r="J13" s="16">
        <v>11</v>
      </c>
      <c r="K13" s="16">
        <v>11</v>
      </c>
      <c r="L13" s="16">
        <v>11</v>
      </c>
      <c r="M13" s="16">
        <v>11</v>
      </c>
      <c r="N13" s="16">
        <v>11</v>
      </c>
      <c r="O13" s="16">
        <v>11</v>
      </c>
      <c r="P13" s="1" t="s">
        <v>27</v>
      </c>
    </row>
    <row r="14" spans="1:16" x14ac:dyDescent="0.3">
      <c r="A14" s="10" t="s">
        <v>26</v>
      </c>
      <c r="B14" s="8" t="s">
        <v>21</v>
      </c>
      <c r="C14" s="9">
        <f t="shared" si="0"/>
        <v>12</v>
      </c>
      <c r="D14" s="16">
        <v>1</v>
      </c>
      <c r="E14" s="16">
        <v>1</v>
      </c>
      <c r="F14" s="16">
        <v>1</v>
      </c>
      <c r="G14" s="16">
        <v>1</v>
      </c>
      <c r="H14" s="16">
        <v>1</v>
      </c>
      <c r="I14" s="16">
        <v>1</v>
      </c>
      <c r="J14" s="16">
        <v>1</v>
      </c>
      <c r="K14" s="16">
        <v>1</v>
      </c>
      <c r="L14" s="16">
        <v>1</v>
      </c>
      <c r="M14" s="16">
        <v>1</v>
      </c>
      <c r="N14" s="16">
        <v>1</v>
      </c>
      <c r="O14" s="16">
        <v>1</v>
      </c>
      <c r="P14" s="1" t="s">
        <v>27</v>
      </c>
    </row>
    <row r="15" spans="1:16" x14ac:dyDescent="0.3">
      <c r="A15" s="10" t="s">
        <v>26</v>
      </c>
      <c r="B15" s="8" t="s">
        <v>22</v>
      </c>
      <c r="C15" s="9">
        <f t="shared" si="0"/>
        <v>20</v>
      </c>
      <c r="D15" s="16">
        <v>15</v>
      </c>
      <c r="E15" s="16"/>
      <c r="F15" s="16">
        <v>2</v>
      </c>
      <c r="G15" s="16"/>
      <c r="H15" s="16"/>
      <c r="I15" s="16"/>
      <c r="J15" s="16">
        <v>1</v>
      </c>
      <c r="K15" s="16"/>
      <c r="L15" s="16"/>
      <c r="M15" s="16"/>
      <c r="N15" s="16"/>
      <c r="O15" s="16">
        <v>2</v>
      </c>
      <c r="P15" s="1" t="s">
        <v>27</v>
      </c>
    </row>
    <row r="16" spans="1:16" x14ac:dyDescent="0.3">
      <c r="A16" s="10" t="s">
        <v>26</v>
      </c>
      <c r="B16" s="8" t="s">
        <v>23</v>
      </c>
      <c r="C16" s="9">
        <f t="shared" si="0"/>
        <v>4.8</v>
      </c>
      <c r="D16" s="16">
        <v>0.4</v>
      </c>
      <c r="E16" s="16">
        <v>0.4</v>
      </c>
      <c r="F16" s="16">
        <v>0.4</v>
      </c>
      <c r="G16" s="16">
        <v>0.4</v>
      </c>
      <c r="H16" s="16">
        <v>0.4</v>
      </c>
      <c r="I16" s="16">
        <v>0.4</v>
      </c>
      <c r="J16" s="16">
        <v>0.4</v>
      </c>
      <c r="K16" s="16">
        <v>0.4</v>
      </c>
      <c r="L16" s="16">
        <v>0.4</v>
      </c>
      <c r="M16" s="16">
        <v>0.4</v>
      </c>
      <c r="N16" s="16">
        <v>0.4</v>
      </c>
      <c r="O16" s="16">
        <v>0.4</v>
      </c>
      <c r="P16" s="1" t="s">
        <v>27</v>
      </c>
    </row>
    <row r="17" spans="1:16" x14ac:dyDescent="0.3">
      <c r="A17" s="10" t="s">
        <v>26</v>
      </c>
      <c r="B17" s="8" t="s">
        <v>24</v>
      </c>
      <c r="C17" s="9">
        <f t="shared" si="0"/>
        <v>40</v>
      </c>
      <c r="D17" s="16">
        <v>4</v>
      </c>
      <c r="E17" s="16">
        <v>3</v>
      </c>
      <c r="F17" s="16">
        <v>3</v>
      </c>
      <c r="G17" s="16">
        <v>3</v>
      </c>
      <c r="H17" s="16">
        <v>3</v>
      </c>
      <c r="I17" s="16">
        <v>3</v>
      </c>
      <c r="J17" s="16">
        <v>3</v>
      </c>
      <c r="K17" s="16">
        <v>3</v>
      </c>
      <c r="L17" s="16">
        <v>3</v>
      </c>
      <c r="M17" s="16">
        <v>4</v>
      </c>
      <c r="N17" s="16">
        <v>4</v>
      </c>
      <c r="O17" s="16">
        <v>4</v>
      </c>
      <c r="P17" s="1" t="s">
        <v>27</v>
      </c>
    </row>
    <row r="18" spans="1:16" x14ac:dyDescent="0.3">
      <c r="A18" s="10" t="s">
        <v>26</v>
      </c>
      <c r="B18" s="8" t="s">
        <v>28</v>
      </c>
      <c r="C18" s="17">
        <f t="shared" si="0"/>
        <v>200</v>
      </c>
      <c r="D18" s="16">
        <v>40</v>
      </c>
      <c r="E18" s="16">
        <v>10</v>
      </c>
      <c r="F18" s="16">
        <v>10</v>
      </c>
      <c r="G18" s="16">
        <v>10</v>
      </c>
      <c r="H18" s="16">
        <v>30</v>
      </c>
      <c r="I18" s="16">
        <v>10</v>
      </c>
      <c r="J18" s="16">
        <v>10</v>
      </c>
      <c r="K18" s="16">
        <v>10</v>
      </c>
      <c r="L18" s="16">
        <v>40</v>
      </c>
      <c r="M18" s="16">
        <v>10</v>
      </c>
      <c r="N18" s="16">
        <v>10</v>
      </c>
      <c r="O18" s="16">
        <v>10</v>
      </c>
      <c r="P18" s="1" t="s">
        <v>27</v>
      </c>
    </row>
    <row r="19" spans="1:16" x14ac:dyDescent="0.3">
      <c r="A19" s="10" t="s">
        <v>26</v>
      </c>
      <c r="B19" s="8" t="s">
        <v>25</v>
      </c>
      <c r="C19" s="17">
        <f t="shared" si="0"/>
        <v>429.60000000000008</v>
      </c>
      <c r="D19" s="16">
        <v>35.799999999999997</v>
      </c>
      <c r="E19" s="16">
        <v>35.799999999999997</v>
      </c>
      <c r="F19" s="16">
        <v>35.799999999999997</v>
      </c>
      <c r="G19" s="16">
        <v>35.799999999999997</v>
      </c>
      <c r="H19" s="16">
        <v>35.799999999999997</v>
      </c>
      <c r="I19" s="16">
        <v>35.799999999999997</v>
      </c>
      <c r="J19" s="16">
        <v>35.799999999999997</v>
      </c>
      <c r="K19" s="16">
        <v>35.799999999999997</v>
      </c>
      <c r="L19" s="16">
        <v>35.799999999999997</v>
      </c>
      <c r="M19" s="16">
        <v>35.799999999999997</v>
      </c>
      <c r="N19" s="16">
        <v>35.799999999999997</v>
      </c>
      <c r="O19" s="16">
        <v>35.799999999999997</v>
      </c>
      <c r="P19" s="1" t="s">
        <v>27</v>
      </c>
    </row>
    <row r="20" spans="1:16" x14ac:dyDescent="0.3">
      <c r="A20" s="10" t="s">
        <v>26</v>
      </c>
      <c r="B20" s="8" t="s">
        <v>29</v>
      </c>
      <c r="C20" s="9">
        <f t="shared" si="0"/>
        <v>30</v>
      </c>
      <c r="D20" s="16">
        <v>2.5</v>
      </c>
      <c r="E20" s="16">
        <v>2.5</v>
      </c>
      <c r="F20" s="16">
        <v>2.5</v>
      </c>
      <c r="G20" s="16">
        <v>2.5</v>
      </c>
      <c r="H20" s="16">
        <v>2.5</v>
      </c>
      <c r="I20" s="16">
        <v>2.5</v>
      </c>
      <c r="J20" s="16">
        <v>2.5</v>
      </c>
      <c r="K20" s="16">
        <v>2.5</v>
      </c>
      <c r="L20" s="16">
        <v>2.5</v>
      </c>
      <c r="M20" s="16">
        <v>2.5</v>
      </c>
      <c r="N20" s="16">
        <v>2.5</v>
      </c>
      <c r="O20" s="16">
        <v>2.5</v>
      </c>
      <c r="P20" s="1" t="s">
        <v>27</v>
      </c>
    </row>
    <row r="21" spans="1:16" x14ac:dyDescent="0.3">
      <c r="A21" s="10" t="s">
        <v>26</v>
      </c>
      <c r="B21" s="8" t="s">
        <v>30</v>
      </c>
      <c r="C21" s="9">
        <f t="shared" si="0"/>
        <v>60.599999999999987</v>
      </c>
      <c r="D21" s="16">
        <v>5.05</v>
      </c>
      <c r="E21" s="16">
        <v>5.05</v>
      </c>
      <c r="F21" s="16">
        <v>5.05</v>
      </c>
      <c r="G21" s="16">
        <v>5.05</v>
      </c>
      <c r="H21" s="16">
        <v>5.05</v>
      </c>
      <c r="I21" s="16">
        <v>5.05</v>
      </c>
      <c r="J21" s="16">
        <v>5.05</v>
      </c>
      <c r="K21" s="16">
        <v>5.05</v>
      </c>
      <c r="L21" s="16">
        <v>5.05</v>
      </c>
      <c r="M21" s="16">
        <v>5.05</v>
      </c>
      <c r="N21" s="16">
        <v>5.05</v>
      </c>
      <c r="O21" s="16">
        <v>5.05</v>
      </c>
      <c r="P21" s="1" t="s">
        <v>27</v>
      </c>
    </row>
    <row r="22" spans="1:16" x14ac:dyDescent="0.3">
      <c r="A22" s="10" t="s">
        <v>26</v>
      </c>
      <c r="B22" s="8" t="s">
        <v>31</v>
      </c>
      <c r="C22" s="9">
        <f t="shared" si="0"/>
        <v>24</v>
      </c>
      <c r="D22" s="16">
        <v>2</v>
      </c>
      <c r="E22" s="16">
        <v>2</v>
      </c>
      <c r="F22" s="16">
        <v>2</v>
      </c>
      <c r="G22" s="16">
        <v>2</v>
      </c>
      <c r="H22" s="16">
        <v>2</v>
      </c>
      <c r="I22" s="16">
        <v>2</v>
      </c>
      <c r="J22" s="16">
        <v>2</v>
      </c>
      <c r="K22" s="16">
        <v>2</v>
      </c>
      <c r="L22" s="16">
        <v>2</v>
      </c>
      <c r="M22" s="16">
        <v>2</v>
      </c>
      <c r="N22" s="16">
        <v>2</v>
      </c>
      <c r="O22" s="16">
        <v>2</v>
      </c>
      <c r="P22" s="1" t="s">
        <v>27</v>
      </c>
    </row>
    <row r="23" spans="1:16" x14ac:dyDescent="0.3">
      <c r="A23" s="10" t="s">
        <v>26</v>
      </c>
      <c r="B23" s="8" t="s">
        <v>32</v>
      </c>
      <c r="C23" s="9">
        <f t="shared" si="0"/>
        <v>27</v>
      </c>
      <c r="D23" s="16">
        <v>2.25</v>
      </c>
      <c r="E23" s="16">
        <v>2.25</v>
      </c>
      <c r="F23" s="16">
        <v>2.25</v>
      </c>
      <c r="G23" s="16">
        <v>2.25</v>
      </c>
      <c r="H23" s="16">
        <v>2.25</v>
      </c>
      <c r="I23" s="16">
        <v>2.25</v>
      </c>
      <c r="J23" s="16">
        <v>2.25</v>
      </c>
      <c r="K23" s="16">
        <v>2.25</v>
      </c>
      <c r="L23" s="16">
        <v>2.25</v>
      </c>
      <c r="M23" s="16">
        <v>2.25</v>
      </c>
      <c r="N23" s="16">
        <v>2.25</v>
      </c>
      <c r="O23" s="16">
        <v>2.25</v>
      </c>
      <c r="P23" s="1" t="s">
        <v>27</v>
      </c>
    </row>
    <row r="24" spans="1:16" x14ac:dyDescent="0.3">
      <c r="A24" s="10" t="s">
        <v>26</v>
      </c>
      <c r="B24" s="8" t="s">
        <v>33</v>
      </c>
      <c r="C24" s="9">
        <f t="shared" si="0"/>
        <v>12</v>
      </c>
      <c r="D24" s="16">
        <v>1</v>
      </c>
      <c r="E24" s="16">
        <v>1</v>
      </c>
      <c r="F24" s="16">
        <v>1</v>
      </c>
      <c r="G24" s="16">
        <v>1</v>
      </c>
      <c r="H24" s="16">
        <v>1</v>
      </c>
      <c r="I24" s="16">
        <v>1</v>
      </c>
      <c r="J24" s="16">
        <v>1</v>
      </c>
      <c r="K24" s="16">
        <v>1</v>
      </c>
      <c r="L24" s="16">
        <v>1</v>
      </c>
      <c r="M24" s="16">
        <v>1</v>
      </c>
      <c r="N24" s="16">
        <v>1</v>
      </c>
      <c r="O24" s="16">
        <v>1</v>
      </c>
      <c r="P24" s="1" t="s">
        <v>27</v>
      </c>
    </row>
    <row r="25" spans="1:16" x14ac:dyDescent="0.3">
      <c r="A25" s="10" t="s">
        <v>26</v>
      </c>
      <c r="B25" s="8" t="s">
        <v>34</v>
      </c>
      <c r="C25" s="9">
        <f t="shared" si="0"/>
        <v>1.2</v>
      </c>
      <c r="D25" s="16"/>
      <c r="E25" s="16"/>
      <c r="F25" s="16">
        <v>0.3</v>
      </c>
      <c r="G25" s="16"/>
      <c r="H25" s="16"/>
      <c r="I25" s="16">
        <v>0.3</v>
      </c>
      <c r="J25" s="16"/>
      <c r="K25" s="16"/>
      <c r="L25" s="16">
        <v>0.3</v>
      </c>
      <c r="M25" s="16"/>
      <c r="N25" s="16"/>
      <c r="O25" s="16">
        <v>0.3</v>
      </c>
      <c r="P25" s="1" t="s">
        <v>27</v>
      </c>
    </row>
    <row r="26" spans="1:16" x14ac:dyDescent="0.3">
      <c r="A26" s="10" t="s">
        <v>26</v>
      </c>
      <c r="B26" s="8" t="s">
        <v>35</v>
      </c>
      <c r="C26" s="9">
        <f t="shared" si="0"/>
        <v>4</v>
      </c>
      <c r="D26" s="16"/>
      <c r="E26" s="16"/>
      <c r="F26" s="16">
        <v>1</v>
      </c>
      <c r="G26" s="16"/>
      <c r="H26" s="16"/>
      <c r="I26" s="16">
        <v>1</v>
      </c>
      <c r="J26" s="16"/>
      <c r="K26" s="16"/>
      <c r="L26" s="16">
        <v>1</v>
      </c>
      <c r="M26" s="16"/>
      <c r="N26" s="16"/>
      <c r="O26" s="16">
        <v>1</v>
      </c>
      <c r="P26" s="1" t="s">
        <v>27</v>
      </c>
    </row>
    <row r="27" spans="1:16" x14ac:dyDescent="0.3">
      <c r="A27" s="10" t="s">
        <v>26</v>
      </c>
      <c r="B27" s="8" t="s">
        <v>36</v>
      </c>
      <c r="C27" s="9">
        <f t="shared" si="0"/>
        <v>15</v>
      </c>
      <c r="D27" s="12"/>
      <c r="E27" s="12"/>
      <c r="F27" s="12">
        <v>5</v>
      </c>
      <c r="G27" s="12"/>
      <c r="H27" s="12"/>
      <c r="I27" s="12">
        <v>5</v>
      </c>
      <c r="J27" s="12"/>
      <c r="K27" s="12"/>
      <c r="L27" s="12">
        <v>5</v>
      </c>
      <c r="M27" s="12"/>
      <c r="N27" s="12"/>
      <c r="O27" s="12"/>
      <c r="P27" s="1" t="s">
        <v>27</v>
      </c>
    </row>
    <row r="28" spans="1:16" x14ac:dyDescent="0.3">
      <c r="A28" s="10" t="s">
        <v>26</v>
      </c>
      <c r="B28" s="8" t="s">
        <v>37</v>
      </c>
      <c r="C28" s="9">
        <f t="shared" si="0"/>
        <v>26.4</v>
      </c>
      <c r="D28" s="12"/>
      <c r="E28" s="12"/>
      <c r="F28" s="12">
        <v>6.6</v>
      </c>
      <c r="G28" s="12"/>
      <c r="H28" s="12"/>
      <c r="I28" s="12">
        <v>6.6</v>
      </c>
      <c r="J28" s="12"/>
      <c r="K28" s="12"/>
      <c r="L28" s="12">
        <v>6.6</v>
      </c>
      <c r="M28" s="12"/>
      <c r="N28" s="12"/>
      <c r="O28" s="18">
        <v>6.6</v>
      </c>
      <c r="P28" s="1" t="s">
        <v>27</v>
      </c>
    </row>
    <row r="29" spans="1:16" x14ac:dyDescent="0.3">
      <c r="A29" s="14" t="s">
        <v>26</v>
      </c>
      <c r="B29" s="14" t="s">
        <v>3</v>
      </c>
      <c r="C29" s="15">
        <f t="shared" ref="C29:O29" si="2">SUM(C12:C28)</f>
        <v>1050.6000000000004</v>
      </c>
      <c r="D29" s="15">
        <f t="shared" si="2"/>
        <v>121</v>
      </c>
      <c r="E29" s="15">
        <f t="shared" si="2"/>
        <v>74.999999999999986</v>
      </c>
      <c r="F29" s="15">
        <f t="shared" si="2"/>
        <v>89.899999999999977</v>
      </c>
      <c r="G29" s="15">
        <f t="shared" si="2"/>
        <v>74.999999999999986</v>
      </c>
      <c r="H29" s="15">
        <f t="shared" si="2"/>
        <v>94.999999999999986</v>
      </c>
      <c r="I29" s="15">
        <f t="shared" si="2"/>
        <v>87.899999999999977</v>
      </c>
      <c r="J29" s="15">
        <f t="shared" si="2"/>
        <v>75.999999999999986</v>
      </c>
      <c r="K29" s="15">
        <f t="shared" si="2"/>
        <v>74.999999999999986</v>
      </c>
      <c r="L29" s="15">
        <f t="shared" si="2"/>
        <v>117.89999999999998</v>
      </c>
      <c r="M29" s="15">
        <f t="shared" si="2"/>
        <v>75.999999999999986</v>
      </c>
      <c r="N29" s="15">
        <f t="shared" si="2"/>
        <v>75.999999999999986</v>
      </c>
      <c r="O29" s="15">
        <f t="shared" si="2"/>
        <v>85.899999999999977</v>
      </c>
      <c r="P29" s="1" t="s">
        <v>27</v>
      </c>
    </row>
    <row r="30" spans="1:16" x14ac:dyDescent="0.3">
      <c r="A30" s="10" t="s">
        <v>38</v>
      </c>
      <c r="B30" s="8" t="s">
        <v>18</v>
      </c>
      <c r="C30" s="12">
        <f t="shared" si="0"/>
        <v>6</v>
      </c>
      <c r="D30" s="9">
        <v>0.5</v>
      </c>
      <c r="E30" s="9">
        <v>0.5</v>
      </c>
      <c r="F30" s="9">
        <v>0.5</v>
      </c>
      <c r="G30" s="9">
        <v>0.5</v>
      </c>
      <c r="H30" s="9">
        <v>0.5</v>
      </c>
      <c r="I30" s="9">
        <v>0.5</v>
      </c>
      <c r="J30" s="9">
        <v>0.5</v>
      </c>
      <c r="K30" s="9">
        <v>0.5</v>
      </c>
      <c r="L30" s="9">
        <v>0.5</v>
      </c>
      <c r="M30" s="9">
        <v>0.5</v>
      </c>
      <c r="N30" s="9">
        <v>0.5</v>
      </c>
      <c r="O30" s="9">
        <v>0.5</v>
      </c>
      <c r="P30" s="1" t="s">
        <v>27</v>
      </c>
    </row>
    <row r="31" spans="1:16" x14ac:dyDescent="0.3">
      <c r="A31" s="10" t="s">
        <v>38</v>
      </c>
      <c r="B31" s="8" t="s">
        <v>20</v>
      </c>
      <c r="C31" s="12">
        <f t="shared" si="0"/>
        <v>80</v>
      </c>
      <c r="D31" s="9">
        <v>1</v>
      </c>
      <c r="E31" s="9">
        <v>35</v>
      </c>
      <c r="F31" s="9">
        <v>1</v>
      </c>
      <c r="G31" s="9">
        <v>1</v>
      </c>
      <c r="H31" s="9">
        <v>1</v>
      </c>
      <c r="I31" s="9">
        <v>1</v>
      </c>
      <c r="J31" s="9">
        <v>1</v>
      </c>
      <c r="K31" s="9">
        <v>1</v>
      </c>
      <c r="L31" s="9">
        <v>35</v>
      </c>
      <c r="M31" s="9">
        <v>1</v>
      </c>
      <c r="N31" s="9">
        <v>1</v>
      </c>
      <c r="O31" s="9">
        <v>1</v>
      </c>
      <c r="P31" s="1" t="s">
        <v>27</v>
      </c>
    </row>
    <row r="32" spans="1:16" x14ac:dyDescent="0.3">
      <c r="A32" s="10" t="s">
        <v>38</v>
      </c>
      <c r="B32" s="8" t="s">
        <v>21</v>
      </c>
      <c r="C32" s="12">
        <f t="shared" si="0"/>
        <v>0</v>
      </c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1" t="s">
        <v>27</v>
      </c>
    </row>
    <row r="33" spans="1:16" x14ac:dyDescent="0.3">
      <c r="A33" s="10" t="s">
        <v>38</v>
      </c>
      <c r="B33" s="8" t="s">
        <v>22</v>
      </c>
      <c r="C33" s="12">
        <f t="shared" si="0"/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1" t="s">
        <v>27</v>
      </c>
    </row>
    <row r="34" spans="1:16" x14ac:dyDescent="0.3">
      <c r="A34" s="10" t="s">
        <v>38</v>
      </c>
      <c r="B34" s="8" t="s">
        <v>23</v>
      </c>
      <c r="C34" s="12">
        <f t="shared" si="0"/>
        <v>8</v>
      </c>
      <c r="D34" s="9">
        <v>0.5</v>
      </c>
      <c r="E34" s="9">
        <v>0.5</v>
      </c>
      <c r="F34" s="9">
        <v>0.5</v>
      </c>
      <c r="G34" s="9">
        <v>0.5</v>
      </c>
      <c r="H34" s="9">
        <v>0.5</v>
      </c>
      <c r="I34" s="9">
        <v>1</v>
      </c>
      <c r="J34" s="9">
        <v>0.5</v>
      </c>
      <c r="K34" s="9">
        <v>0.5</v>
      </c>
      <c r="L34" s="9">
        <v>0.5</v>
      </c>
      <c r="M34" s="9">
        <v>2</v>
      </c>
      <c r="N34" s="9">
        <v>0.5</v>
      </c>
      <c r="O34" s="9">
        <v>0.5</v>
      </c>
      <c r="P34" s="1" t="s">
        <v>27</v>
      </c>
    </row>
    <row r="35" spans="1:16" x14ac:dyDescent="0.3">
      <c r="A35" s="10" t="s">
        <v>38</v>
      </c>
      <c r="B35" s="8" t="s">
        <v>24</v>
      </c>
      <c r="C35" s="12">
        <f t="shared" si="0"/>
        <v>3.5999999999999992</v>
      </c>
      <c r="D35" s="9">
        <v>0.3</v>
      </c>
      <c r="E35" s="9">
        <v>0.3</v>
      </c>
      <c r="F35" s="9">
        <v>0.3</v>
      </c>
      <c r="G35" s="9">
        <v>0.3</v>
      </c>
      <c r="H35" s="9">
        <v>0.3</v>
      </c>
      <c r="I35" s="9">
        <v>0.3</v>
      </c>
      <c r="J35" s="9">
        <v>0.3</v>
      </c>
      <c r="K35" s="9">
        <v>0.3</v>
      </c>
      <c r="L35" s="9">
        <v>0.3</v>
      </c>
      <c r="M35" s="9">
        <v>0.3</v>
      </c>
      <c r="N35" s="9">
        <v>0.3</v>
      </c>
      <c r="O35" s="9">
        <v>0.3</v>
      </c>
      <c r="P35" s="1" t="s">
        <v>27</v>
      </c>
    </row>
    <row r="36" spans="1:16" x14ac:dyDescent="0.3">
      <c r="A36" s="14" t="s">
        <v>38</v>
      </c>
      <c r="B36" s="14" t="s">
        <v>3</v>
      </c>
      <c r="C36" s="15">
        <f>SUM(C30:C35)</f>
        <v>97.6</v>
      </c>
      <c r="D36" s="15">
        <f t="shared" ref="D36:O36" si="3">SUM(D30:D35)</f>
        <v>2.2999999999999998</v>
      </c>
      <c r="E36" s="15">
        <f t="shared" si="3"/>
        <v>36.299999999999997</v>
      </c>
      <c r="F36" s="15">
        <f t="shared" si="3"/>
        <v>2.2999999999999998</v>
      </c>
      <c r="G36" s="15">
        <f t="shared" si="3"/>
        <v>2.2999999999999998</v>
      </c>
      <c r="H36" s="15">
        <f t="shared" si="3"/>
        <v>2.2999999999999998</v>
      </c>
      <c r="I36" s="15">
        <f t="shared" si="3"/>
        <v>2.8</v>
      </c>
      <c r="J36" s="15">
        <f t="shared" si="3"/>
        <v>2.2999999999999998</v>
      </c>
      <c r="K36" s="15">
        <f t="shared" si="3"/>
        <v>2.2999999999999998</v>
      </c>
      <c r="L36" s="15">
        <f t="shared" si="3"/>
        <v>36.299999999999997</v>
      </c>
      <c r="M36" s="15">
        <f t="shared" si="3"/>
        <v>3.8</v>
      </c>
      <c r="N36" s="15">
        <f t="shared" si="3"/>
        <v>2.2999999999999998</v>
      </c>
      <c r="O36" s="15">
        <f t="shared" si="3"/>
        <v>2.2999999999999998</v>
      </c>
      <c r="P36" s="1" t="s">
        <v>27</v>
      </c>
    </row>
    <row r="37" spans="1:16" x14ac:dyDescent="0.3">
      <c r="A37" s="10" t="s">
        <v>39</v>
      </c>
      <c r="B37" s="8" t="s">
        <v>18</v>
      </c>
      <c r="C37" s="12">
        <f t="shared" si="0"/>
        <v>2.4</v>
      </c>
      <c r="D37" s="9">
        <v>0.2</v>
      </c>
      <c r="E37" s="9">
        <v>0.2</v>
      </c>
      <c r="F37" s="9">
        <v>0.2</v>
      </c>
      <c r="G37" s="9">
        <v>0.2</v>
      </c>
      <c r="H37" s="9">
        <v>0.2</v>
      </c>
      <c r="I37" s="9">
        <v>0.2</v>
      </c>
      <c r="J37" s="9">
        <v>0.2</v>
      </c>
      <c r="K37" s="9">
        <v>0.2</v>
      </c>
      <c r="L37" s="9">
        <v>0.2</v>
      </c>
      <c r="M37" s="9">
        <v>0.2</v>
      </c>
      <c r="N37" s="9">
        <v>0.2</v>
      </c>
      <c r="O37" s="9">
        <v>0.2</v>
      </c>
      <c r="P37" s="1" t="s">
        <v>27</v>
      </c>
    </row>
    <row r="38" spans="1:16" x14ac:dyDescent="0.3">
      <c r="A38" s="10" t="s">
        <v>39</v>
      </c>
      <c r="B38" s="8" t="s">
        <v>20</v>
      </c>
      <c r="C38" s="12">
        <f t="shared" si="0"/>
        <v>2.4</v>
      </c>
      <c r="D38" s="9">
        <v>0.2</v>
      </c>
      <c r="E38" s="9">
        <v>0.2</v>
      </c>
      <c r="F38" s="9">
        <v>0.2</v>
      </c>
      <c r="G38" s="9">
        <v>0.2</v>
      </c>
      <c r="H38" s="9">
        <v>0.2</v>
      </c>
      <c r="I38" s="9">
        <v>0.2</v>
      </c>
      <c r="J38" s="9">
        <v>0.2</v>
      </c>
      <c r="K38" s="9">
        <v>0.2</v>
      </c>
      <c r="L38" s="9">
        <v>0.2</v>
      </c>
      <c r="M38" s="9">
        <v>0.2</v>
      </c>
      <c r="N38" s="9">
        <v>0.2</v>
      </c>
      <c r="O38" s="9">
        <v>0.2</v>
      </c>
      <c r="P38" s="1" t="s">
        <v>27</v>
      </c>
    </row>
    <row r="39" spans="1:16" x14ac:dyDescent="0.3">
      <c r="A39" s="10" t="s">
        <v>39</v>
      </c>
      <c r="B39" s="8" t="s">
        <v>21</v>
      </c>
      <c r="C39" s="12">
        <f t="shared" si="0"/>
        <v>0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1" t="s">
        <v>27</v>
      </c>
    </row>
    <row r="40" spans="1:16" x14ac:dyDescent="0.3">
      <c r="A40" s="10" t="s">
        <v>39</v>
      </c>
      <c r="B40" s="8" t="s">
        <v>22</v>
      </c>
      <c r="C40" s="12">
        <f t="shared" si="0"/>
        <v>0</v>
      </c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1" t="s">
        <v>27</v>
      </c>
    </row>
    <row r="41" spans="1:16" x14ac:dyDescent="0.3">
      <c r="A41" s="10" t="s">
        <v>39</v>
      </c>
      <c r="B41" s="8" t="s">
        <v>23</v>
      </c>
      <c r="C41" s="12">
        <f t="shared" si="0"/>
        <v>1.2</v>
      </c>
      <c r="D41" s="9">
        <v>0.1</v>
      </c>
      <c r="E41" s="9">
        <v>0.1</v>
      </c>
      <c r="F41" s="9">
        <v>0.1</v>
      </c>
      <c r="G41" s="9">
        <v>0.1</v>
      </c>
      <c r="H41" s="9">
        <v>0.1</v>
      </c>
      <c r="I41" s="9">
        <v>0.1</v>
      </c>
      <c r="J41" s="9">
        <v>0.1</v>
      </c>
      <c r="K41" s="9">
        <v>0.1</v>
      </c>
      <c r="L41" s="9">
        <v>0.1</v>
      </c>
      <c r="M41" s="9">
        <v>0.1</v>
      </c>
      <c r="N41" s="9">
        <v>0.1</v>
      </c>
      <c r="O41" s="9">
        <v>0.1</v>
      </c>
      <c r="P41" s="1" t="s">
        <v>27</v>
      </c>
    </row>
    <row r="42" spans="1:16" x14ac:dyDescent="0.3">
      <c r="A42" s="10" t="s">
        <v>39</v>
      </c>
      <c r="B42" s="8" t="s">
        <v>40</v>
      </c>
      <c r="C42" s="12">
        <f t="shared" si="0"/>
        <v>17.972499999999997</v>
      </c>
      <c r="D42" s="9">
        <v>3.5945</v>
      </c>
      <c r="E42" s="9"/>
      <c r="F42" s="9">
        <v>1.79725</v>
      </c>
      <c r="G42" s="9"/>
      <c r="H42" s="9"/>
      <c r="I42" s="9">
        <v>3.5945</v>
      </c>
      <c r="J42" s="9"/>
      <c r="K42" s="9"/>
      <c r="L42" s="9">
        <v>3.5945</v>
      </c>
      <c r="M42" s="9"/>
      <c r="N42" s="9">
        <v>3.5945</v>
      </c>
      <c r="O42" s="9">
        <v>1.79725</v>
      </c>
      <c r="P42" s="1" t="s">
        <v>27</v>
      </c>
    </row>
    <row r="43" spans="1:16" x14ac:dyDescent="0.3">
      <c r="A43" s="10" t="s">
        <v>39</v>
      </c>
      <c r="B43" s="8" t="s">
        <v>41</v>
      </c>
      <c r="C43" s="19">
        <f t="shared" si="0"/>
        <v>0.43000000000000005</v>
      </c>
      <c r="D43" s="9">
        <v>0.4</v>
      </c>
      <c r="E43" s="9"/>
      <c r="F43" s="9">
        <v>0.03</v>
      </c>
      <c r="G43" s="9"/>
      <c r="H43" s="9"/>
      <c r="I43" s="9"/>
      <c r="J43" s="9"/>
      <c r="K43" s="9"/>
      <c r="L43" s="9"/>
      <c r="M43" s="9"/>
      <c r="N43" s="9"/>
      <c r="O43" s="9"/>
      <c r="P43" s="1" t="s">
        <v>27</v>
      </c>
    </row>
    <row r="44" spans="1:16" x14ac:dyDescent="0.3">
      <c r="A44" s="10" t="s">
        <v>39</v>
      </c>
      <c r="B44" s="8" t="s">
        <v>42</v>
      </c>
      <c r="C44" s="12">
        <f t="shared" si="0"/>
        <v>4.8</v>
      </c>
      <c r="D44" s="9">
        <v>0.8</v>
      </c>
      <c r="E44" s="9"/>
      <c r="F44" s="9"/>
      <c r="G44" s="9"/>
      <c r="H44" s="9"/>
      <c r="I44" s="9"/>
      <c r="J44" s="9"/>
      <c r="K44" s="9">
        <v>4</v>
      </c>
      <c r="L44" s="9"/>
      <c r="M44" s="9"/>
      <c r="N44" s="9"/>
      <c r="O44" s="9"/>
      <c r="P44" s="1" t="s">
        <v>27</v>
      </c>
    </row>
    <row r="45" spans="1:16" x14ac:dyDescent="0.3">
      <c r="A45" s="14" t="s">
        <v>39</v>
      </c>
      <c r="B45" s="14" t="s">
        <v>3</v>
      </c>
      <c r="C45" s="15">
        <f t="shared" si="0"/>
        <v>29.202500000000001</v>
      </c>
      <c r="D45" s="20">
        <f>SUM(D37:D44)</f>
        <v>5.2945000000000002</v>
      </c>
      <c r="E45" s="20">
        <f t="shared" ref="E45:O45" si="4">SUM(E37:E44)</f>
        <v>0.5</v>
      </c>
      <c r="F45" s="20">
        <f t="shared" si="4"/>
        <v>2.3272499999999998</v>
      </c>
      <c r="G45" s="20">
        <f t="shared" si="4"/>
        <v>0.5</v>
      </c>
      <c r="H45" s="20">
        <f t="shared" si="4"/>
        <v>0.5</v>
      </c>
      <c r="I45" s="20">
        <f t="shared" si="4"/>
        <v>4.0945</v>
      </c>
      <c r="J45" s="20">
        <f t="shared" si="4"/>
        <v>0.5</v>
      </c>
      <c r="K45" s="20">
        <f t="shared" si="4"/>
        <v>4.5</v>
      </c>
      <c r="L45" s="20">
        <f t="shared" si="4"/>
        <v>4.0945</v>
      </c>
      <c r="M45" s="20">
        <f t="shared" si="4"/>
        <v>0.5</v>
      </c>
      <c r="N45" s="20">
        <f t="shared" si="4"/>
        <v>4.0945</v>
      </c>
      <c r="O45" s="20">
        <f t="shared" si="4"/>
        <v>2.29725</v>
      </c>
      <c r="P45" s="1" t="s">
        <v>27</v>
      </c>
    </row>
    <row r="46" spans="1:16" x14ac:dyDescent="0.3">
      <c r="A46" s="10" t="s">
        <v>43</v>
      </c>
      <c r="B46" s="8" t="s">
        <v>18</v>
      </c>
      <c r="C46" s="12">
        <f t="shared" si="0"/>
        <v>4.3</v>
      </c>
      <c r="D46" s="9">
        <v>0.3</v>
      </c>
      <c r="E46" s="9">
        <v>0.5</v>
      </c>
      <c r="F46" s="9">
        <v>0.3</v>
      </c>
      <c r="G46" s="9">
        <v>0.3</v>
      </c>
      <c r="H46" s="9">
        <v>0.5</v>
      </c>
      <c r="I46" s="9">
        <v>0.4</v>
      </c>
      <c r="J46" s="9">
        <v>0.3</v>
      </c>
      <c r="K46" s="9">
        <v>0.3</v>
      </c>
      <c r="L46" s="9">
        <v>0.3</v>
      </c>
      <c r="M46" s="9">
        <v>0.5</v>
      </c>
      <c r="N46" s="9">
        <v>0.3</v>
      </c>
      <c r="O46" s="9">
        <v>0.3</v>
      </c>
      <c r="P46" s="1" t="s">
        <v>27</v>
      </c>
    </row>
    <row r="47" spans="1:16" x14ac:dyDescent="0.3">
      <c r="A47" s="10" t="s">
        <v>43</v>
      </c>
      <c r="B47" s="8" t="s">
        <v>20</v>
      </c>
      <c r="C47" s="12">
        <f t="shared" si="0"/>
        <v>7.1</v>
      </c>
      <c r="D47" s="9">
        <v>0.5</v>
      </c>
      <c r="E47" s="9">
        <v>0.5</v>
      </c>
      <c r="F47" s="9">
        <v>0.5</v>
      </c>
      <c r="G47" s="9">
        <v>0.6</v>
      </c>
      <c r="H47" s="9">
        <v>0.8</v>
      </c>
      <c r="I47" s="9">
        <v>0.5</v>
      </c>
      <c r="J47" s="9">
        <v>0.5</v>
      </c>
      <c r="K47" s="9">
        <v>0.6</v>
      </c>
      <c r="L47" s="9">
        <v>0.8</v>
      </c>
      <c r="M47" s="9">
        <v>0.5</v>
      </c>
      <c r="N47" s="9">
        <v>0.5</v>
      </c>
      <c r="O47" s="9">
        <v>0.8</v>
      </c>
      <c r="P47" s="1" t="s">
        <v>27</v>
      </c>
    </row>
    <row r="48" spans="1:16" x14ac:dyDescent="0.3">
      <c r="A48" s="10" t="s">
        <v>43</v>
      </c>
      <c r="B48" s="8" t="s">
        <v>21</v>
      </c>
      <c r="C48" s="12">
        <f t="shared" si="0"/>
        <v>0.2</v>
      </c>
      <c r="D48" s="9"/>
      <c r="E48" s="9"/>
      <c r="F48" s="9">
        <v>0.05</v>
      </c>
      <c r="G48" s="9"/>
      <c r="H48" s="9"/>
      <c r="I48" s="9">
        <v>0.05</v>
      </c>
      <c r="J48" s="9"/>
      <c r="K48" s="9"/>
      <c r="L48" s="9">
        <v>0.05</v>
      </c>
      <c r="M48" s="9"/>
      <c r="N48" s="9"/>
      <c r="O48" s="9">
        <v>0.05</v>
      </c>
      <c r="P48" s="1" t="s">
        <v>27</v>
      </c>
    </row>
    <row r="49" spans="1:16" x14ac:dyDescent="0.3">
      <c r="A49" s="10" t="s">
        <v>43</v>
      </c>
      <c r="B49" s="8" t="s">
        <v>22</v>
      </c>
      <c r="C49" s="12">
        <f t="shared" si="0"/>
        <v>0.8</v>
      </c>
      <c r="D49" s="9"/>
      <c r="E49" s="9"/>
      <c r="F49" s="9">
        <v>0.2</v>
      </c>
      <c r="G49" s="9"/>
      <c r="H49" s="9"/>
      <c r="I49" s="9">
        <v>0.2</v>
      </c>
      <c r="J49" s="9"/>
      <c r="K49" s="9"/>
      <c r="L49" s="9">
        <v>0.2</v>
      </c>
      <c r="M49" s="9"/>
      <c r="N49" s="9"/>
      <c r="O49" s="9">
        <v>0.2</v>
      </c>
      <c r="P49" s="1" t="s">
        <v>27</v>
      </c>
    </row>
    <row r="50" spans="1:16" x14ac:dyDescent="0.3">
      <c r="A50" s="10" t="s">
        <v>43</v>
      </c>
      <c r="B50" s="8" t="s">
        <v>23</v>
      </c>
      <c r="C50" s="12">
        <f t="shared" si="0"/>
        <v>6.3</v>
      </c>
      <c r="D50" s="9">
        <v>0.5</v>
      </c>
      <c r="E50" s="9">
        <v>0.6</v>
      </c>
      <c r="F50" s="9">
        <v>0.5</v>
      </c>
      <c r="G50" s="9">
        <v>0.5</v>
      </c>
      <c r="H50" s="9">
        <v>0.6</v>
      </c>
      <c r="I50" s="9">
        <v>0.5</v>
      </c>
      <c r="J50" s="9">
        <v>0.5</v>
      </c>
      <c r="K50" s="9">
        <v>0.5</v>
      </c>
      <c r="L50" s="9">
        <v>0.5</v>
      </c>
      <c r="M50" s="9">
        <v>0.6</v>
      </c>
      <c r="N50" s="9">
        <v>0.5</v>
      </c>
      <c r="O50" s="9">
        <v>0.5</v>
      </c>
      <c r="P50" s="1" t="s">
        <v>27</v>
      </c>
    </row>
    <row r="51" spans="1:16" x14ac:dyDescent="0.3">
      <c r="A51" s="10" t="s">
        <v>43</v>
      </c>
      <c r="B51" s="8" t="s">
        <v>44</v>
      </c>
      <c r="C51" s="12">
        <f t="shared" si="0"/>
        <v>8</v>
      </c>
      <c r="D51" s="9"/>
      <c r="E51" s="9"/>
      <c r="F51" s="9">
        <v>2</v>
      </c>
      <c r="G51" s="9"/>
      <c r="H51" s="9"/>
      <c r="I51" s="9">
        <v>2</v>
      </c>
      <c r="J51" s="9"/>
      <c r="K51" s="9"/>
      <c r="L51" s="9">
        <v>2</v>
      </c>
      <c r="M51" s="9"/>
      <c r="N51" s="9"/>
      <c r="O51" s="9">
        <v>2</v>
      </c>
      <c r="P51" s="1" t="s">
        <v>27</v>
      </c>
    </row>
    <row r="52" spans="1:16" x14ac:dyDescent="0.3">
      <c r="A52" s="10" t="s">
        <v>43</v>
      </c>
      <c r="B52" s="8" t="s">
        <v>45</v>
      </c>
      <c r="C52" s="12">
        <f t="shared" si="0"/>
        <v>235</v>
      </c>
      <c r="D52" s="9"/>
      <c r="E52" s="9">
        <v>15</v>
      </c>
      <c r="F52" s="9">
        <v>50</v>
      </c>
      <c r="G52" s="9"/>
      <c r="H52" s="9"/>
      <c r="I52" s="9">
        <v>50</v>
      </c>
      <c r="J52" s="9"/>
      <c r="K52" s="9">
        <v>20</v>
      </c>
      <c r="L52" s="9">
        <v>50</v>
      </c>
      <c r="M52" s="9"/>
      <c r="N52" s="9"/>
      <c r="O52" s="21">
        <v>50</v>
      </c>
      <c r="P52" s="1" t="s">
        <v>27</v>
      </c>
    </row>
    <row r="53" spans="1:16" x14ac:dyDescent="0.3">
      <c r="A53" s="14" t="s">
        <v>43</v>
      </c>
      <c r="B53" s="14" t="s">
        <v>3</v>
      </c>
      <c r="C53" s="15">
        <f t="shared" si="0"/>
        <v>261.70000000000005</v>
      </c>
      <c r="D53" s="15">
        <f t="shared" ref="D53:O53" si="5">SUM(D46:D52)</f>
        <v>1.3</v>
      </c>
      <c r="E53" s="15">
        <f t="shared" si="5"/>
        <v>16.600000000000001</v>
      </c>
      <c r="F53" s="15">
        <f t="shared" si="5"/>
        <v>53.55</v>
      </c>
      <c r="G53" s="15">
        <f t="shared" si="5"/>
        <v>1.4</v>
      </c>
      <c r="H53" s="15">
        <f t="shared" si="5"/>
        <v>1.9</v>
      </c>
      <c r="I53" s="15">
        <f t="shared" si="5"/>
        <v>53.65</v>
      </c>
      <c r="J53" s="15">
        <f t="shared" si="5"/>
        <v>1.3</v>
      </c>
      <c r="K53" s="15">
        <f t="shared" si="5"/>
        <v>21.4</v>
      </c>
      <c r="L53" s="15">
        <f t="shared" si="5"/>
        <v>53.85</v>
      </c>
      <c r="M53" s="15">
        <f t="shared" si="5"/>
        <v>1.6</v>
      </c>
      <c r="N53" s="15">
        <f t="shared" si="5"/>
        <v>1.3</v>
      </c>
      <c r="O53" s="15">
        <f t="shared" si="5"/>
        <v>53.85</v>
      </c>
      <c r="P53" s="1" t="s">
        <v>27</v>
      </c>
    </row>
    <row r="54" spans="1:16" x14ac:dyDescent="0.3">
      <c r="A54" s="22" t="s">
        <v>46</v>
      </c>
      <c r="B54" s="8" t="s">
        <v>18</v>
      </c>
      <c r="C54" s="23">
        <f t="shared" si="0"/>
        <v>9</v>
      </c>
      <c r="D54" s="9">
        <v>1.2</v>
      </c>
      <c r="E54" s="9">
        <v>0.6</v>
      </c>
      <c r="F54" s="9">
        <v>0.7</v>
      </c>
      <c r="G54" s="9">
        <v>1</v>
      </c>
      <c r="H54" s="9">
        <v>0.8</v>
      </c>
      <c r="I54" s="9">
        <v>0.6</v>
      </c>
      <c r="J54" s="9">
        <v>0.6</v>
      </c>
      <c r="K54" s="9">
        <v>0.7</v>
      </c>
      <c r="L54" s="9">
        <v>0.8</v>
      </c>
      <c r="M54" s="9">
        <v>0.6</v>
      </c>
      <c r="N54" s="9">
        <v>0.6</v>
      </c>
      <c r="O54" s="9">
        <v>0.8</v>
      </c>
      <c r="P54" s="1" t="s">
        <v>27</v>
      </c>
    </row>
    <row r="55" spans="1:16" x14ac:dyDescent="0.3">
      <c r="A55" s="22" t="s">
        <v>46</v>
      </c>
      <c r="B55" s="8" t="s">
        <v>20</v>
      </c>
      <c r="C55" s="23">
        <f t="shared" si="0"/>
        <v>16.200000000000003</v>
      </c>
      <c r="D55" s="9">
        <v>3</v>
      </c>
      <c r="E55" s="9">
        <v>1.5</v>
      </c>
      <c r="F55" s="9">
        <v>0.6</v>
      </c>
      <c r="G55" s="9">
        <v>1.5</v>
      </c>
      <c r="H55" s="9">
        <v>1</v>
      </c>
      <c r="I55" s="9">
        <v>1.8</v>
      </c>
      <c r="J55" s="9">
        <v>1</v>
      </c>
      <c r="K55" s="9">
        <v>0.8</v>
      </c>
      <c r="L55" s="9">
        <v>1</v>
      </c>
      <c r="M55" s="9">
        <v>2</v>
      </c>
      <c r="N55" s="9">
        <v>0.8</v>
      </c>
      <c r="O55" s="9">
        <v>1.2</v>
      </c>
      <c r="P55" s="1" t="s">
        <v>27</v>
      </c>
    </row>
    <row r="56" spans="1:16" x14ac:dyDescent="0.3">
      <c r="A56" s="22" t="s">
        <v>46</v>
      </c>
      <c r="B56" s="8" t="s">
        <v>21</v>
      </c>
      <c r="C56" s="23">
        <f t="shared" si="0"/>
        <v>0</v>
      </c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1" t="s">
        <v>27</v>
      </c>
    </row>
    <row r="57" spans="1:16" x14ac:dyDescent="0.3">
      <c r="A57" s="22" t="s">
        <v>46</v>
      </c>
      <c r="B57" s="8" t="s">
        <v>22</v>
      </c>
      <c r="C57" s="23">
        <f t="shared" si="0"/>
        <v>0</v>
      </c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1" t="s">
        <v>27</v>
      </c>
    </row>
    <row r="58" spans="1:16" x14ac:dyDescent="0.3">
      <c r="A58" s="22" t="s">
        <v>46</v>
      </c>
      <c r="B58" s="8" t="s">
        <v>23</v>
      </c>
      <c r="C58" s="23">
        <f t="shared" si="0"/>
        <v>0</v>
      </c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1" t="s">
        <v>27</v>
      </c>
    </row>
    <row r="59" spans="1:16" x14ac:dyDescent="0.3">
      <c r="A59" s="22" t="s">
        <v>46</v>
      </c>
      <c r="B59" s="8" t="s">
        <v>24</v>
      </c>
      <c r="C59" s="23">
        <f t="shared" si="0"/>
        <v>0</v>
      </c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1" t="s">
        <v>27</v>
      </c>
    </row>
    <row r="60" spans="1:16" x14ac:dyDescent="0.3">
      <c r="A60" s="22" t="s">
        <v>46</v>
      </c>
      <c r="B60" s="8" t="s">
        <v>28</v>
      </c>
      <c r="C60" s="23">
        <f t="shared" si="0"/>
        <v>400</v>
      </c>
      <c r="D60" s="9"/>
      <c r="E60" s="9"/>
      <c r="F60" s="9"/>
      <c r="G60" s="9"/>
      <c r="H60" s="9"/>
      <c r="I60" s="9">
        <v>200</v>
      </c>
      <c r="J60" s="9"/>
      <c r="K60" s="9"/>
      <c r="L60" s="9"/>
      <c r="M60" s="9"/>
      <c r="N60" s="9"/>
      <c r="O60" s="9">
        <v>200</v>
      </c>
      <c r="P60" s="1" t="s">
        <v>27</v>
      </c>
    </row>
    <row r="61" spans="1:16" x14ac:dyDescent="0.3">
      <c r="A61" s="14" t="s">
        <v>46</v>
      </c>
      <c r="B61" s="14" t="s">
        <v>3</v>
      </c>
      <c r="C61" s="15">
        <f t="shared" si="0"/>
        <v>425.20000000000005</v>
      </c>
      <c r="D61" s="15">
        <f>SUM(D54:D60)</f>
        <v>4.2</v>
      </c>
      <c r="E61" s="15">
        <f t="shared" ref="E61:O61" si="6">SUM(E54:E60)</f>
        <v>2.1</v>
      </c>
      <c r="F61" s="15">
        <f t="shared" si="6"/>
        <v>1.2999999999999998</v>
      </c>
      <c r="G61" s="15">
        <f t="shared" si="6"/>
        <v>2.5</v>
      </c>
      <c r="H61" s="15">
        <f t="shared" si="6"/>
        <v>1.8</v>
      </c>
      <c r="I61" s="15">
        <f t="shared" si="6"/>
        <v>202.4</v>
      </c>
      <c r="J61" s="15">
        <f t="shared" si="6"/>
        <v>1.6</v>
      </c>
      <c r="K61" s="15">
        <f t="shared" si="6"/>
        <v>1.5</v>
      </c>
      <c r="L61" s="15">
        <f t="shared" si="6"/>
        <v>1.8</v>
      </c>
      <c r="M61" s="15">
        <f t="shared" si="6"/>
        <v>2.6</v>
      </c>
      <c r="N61" s="15">
        <f t="shared" si="6"/>
        <v>1.4</v>
      </c>
      <c r="O61" s="15">
        <f t="shared" si="6"/>
        <v>202</v>
      </c>
      <c r="P61" s="1" t="s">
        <v>27</v>
      </c>
    </row>
    <row r="62" spans="1:16" x14ac:dyDescent="0.3">
      <c r="A62" s="7" t="s">
        <v>47</v>
      </c>
      <c r="B62" s="22" t="s">
        <v>24</v>
      </c>
      <c r="C62" s="23">
        <f t="shared" si="0"/>
        <v>14</v>
      </c>
      <c r="D62" s="23"/>
      <c r="E62" s="23"/>
      <c r="F62" s="23"/>
      <c r="G62" s="23"/>
      <c r="H62" s="23"/>
      <c r="I62" s="9">
        <v>2</v>
      </c>
      <c r="J62" s="9">
        <v>2</v>
      </c>
      <c r="K62" s="9">
        <v>2</v>
      </c>
      <c r="L62" s="9">
        <v>2</v>
      </c>
      <c r="M62" s="9">
        <v>2</v>
      </c>
      <c r="N62" s="9">
        <v>2</v>
      </c>
      <c r="O62" s="9">
        <v>2</v>
      </c>
      <c r="P62" s="1" t="s">
        <v>27</v>
      </c>
    </row>
    <row r="63" spans="1:16" x14ac:dyDescent="0.3">
      <c r="A63" s="14" t="s">
        <v>47</v>
      </c>
      <c r="B63" s="14" t="s">
        <v>3</v>
      </c>
      <c r="C63" s="15">
        <f>C62</f>
        <v>14</v>
      </c>
      <c r="D63" s="15">
        <f>D62</f>
        <v>0</v>
      </c>
      <c r="E63" s="15">
        <f t="shared" ref="E63:O63" si="7">E62</f>
        <v>0</v>
      </c>
      <c r="F63" s="15">
        <f t="shared" si="7"/>
        <v>0</v>
      </c>
      <c r="G63" s="15">
        <f t="shared" si="7"/>
        <v>0</v>
      </c>
      <c r="H63" s="15">
        <f t="shared" si="7"/>
        <v>0</v>
      </c>
      <c r="I63" s="15">
        <f t="shared" si="7"/>
        <v>2</v>
      </c>
      <c r="J63" s="15">
        <f t="shared" si="7"/>
        <v>2</v>
      </c>
      <c r="K63" s="15">
        <f t="shared" si="7"/>
        <v>2</v>
      </c>
      <c r="L63" s="15">
        <f t="shared" si="7"/>
        <v>2</v>
      </c>
      <c r="M63" s="15">
        <f t="shared" si="7"/>
        <v>2</v>
      </c>
      <c r="N63" s="15">
        <f t="shared" si="7"/>
        <v>2</v>
      </c>
      <c r="O63" s="15">
        <f t="shared" si="7"/>
        <v>2</v>
      </c>
      <c r="P63" s="1" t="s">
        <v>27</v>
      </c>
    </row>
    <row r="64" spans="1:16" x14ac:dyDescent="0.3">
      <c r="A64" s="10" t="s">
        <v>48</v>
      </c>
      <c r="B64" s="8" t="s">
        <v>18</v>
      </c>
      <c r="C64" s="12">
        <f t="shared" si="0"/>
        <v>6</v>
      </c>
      <c r="D64" s="16">
        <v>0.5</v>
      </c>
      <c r="E64" s="16">
        <v>0.5</v>
      </c>
      <c r="F64" s="16">
        <v>0.5</v>
      </c>
      <c r="G64" s="16">
        <v>0.5</v>
      </c>
      <c r="H64" s="16">
        <v>0.5</v>
      </c>
      <c r="I64" s="16">
        <v>0.5</v>
      </c>
      <c r="J64" s="16">
        <v>0.5</v>
      </c>
      <c r="K64" s="16">
        <v>0.5</v>
      </c>
      <c r="L64" s="16">
        <v>0.5</v>
      </c>
      <c r="M64" s="16">
        <v>0.5</v>
      </c>
      <c r="N64" s="16">
        <v>0.5</v>
      </c>
      <c r="O64" s="16">
        <v>0.5</v>
      </c>
      <c r="P64" s="1" t="s">
        <v>27</v>
      </c>
    </row>
    <row r="65" spans="1:16" x14ac:dyDescent="0.3">
      <c r="A65" s="10" t="s">
        <v>48</v>
      </c>
      <c r="B65" s="8" t="s">
        <v>29</v>
      </c>
      <c r="C65" s="12">
        <f t="shared" si="0"/>
        <v>0.5</v>
      </c>
      <c r="D65" s="16"/>
      <c r="E65" s="16">
        <v>0.1</v>
      </c>
      <c r="F65" s="16"/>
      <c r="G65" s="16"/>
      <c r="H65" s="16">
        <v>0.1</v>
      </c>
      <c r="I65" s="16"/>
      <c r="J65" s="16"/>
      <c r="K65" s="16">
        <v>0.1</v>
      </c>
      <c r="L65" s="16"/>
      <c r="M65" s="16"/>
      <c r="N65" s="16">
        <v>0.1</v>
      </c>
      <c r="O65" s="16">
        <v>0.1</v>
      </c>
      <c r="P65" s="1" t="s">
        <v>27</v>
      </c>
    </row>
    <row r="66" spans="1:16" x14ac:dyDescent="0.3">
      <c r="A66" s="10" t="s">
        <v>48</v>
      </c>
      <c r="B66" s="8" t="s">
        <v>20</v>
      </c>
      <c r="C66" s="12">
        <f t="shared" si="0"/>
        <v>6</v>
      </c>
      <c r="D66" s="16">
        <v>0.5</v>
      </c>
      <c r="E66" s="16">
        <v>0.5</v>
      </c>
      <c r="F66" s="16">
        <v>0.5</v>
      </c>
      <c r="G66" s="16">
        <v>0.5</v>
      </c>
      <c r="H66" s="16">
        <v>0.5</v>
      </c>
      <c r="I66" s="16">
        <v>0.5</v>
      </c>
      <c r="J66" s="16">
        <v>0.5</v>
      </c>
      <c r="K66" s="16">
        <v>0.5</v>
      </c>
      <c r="L66" s="16">
        <v>0.5</v>
      </c>
      <c r="M66" s="16">
        <v>0.5</v>
      </c>
      <c r="N66" s="16">
        <v>0.5</v>
      </c>
      <c r="O66" s="16">
        <v>0.5</v>
      </c>
      <c r="P66" s="1" t="s">
        <v>27</v>
      </c>
    </row>
    <row r="67" spans="1:16" x14ac:dyDescent="0.3">
      <c r="A67" s="10" t="s">
        <v>48</v>
      </c>
      <c r="B67" s="8" t="s">
        <v>21</v>
      </c>
      <c r="C67" s="12">
        <f t="shared" si="0"/>
        <v>0</v>
      </c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" t="s">
        <v>27</v>
      </c>
    </row>
    <row r="68" spans="1:16" x14ac:dyDescent="0.3">
      <c r="A68" s="10" t="s">
        <v>48</v>
      </c>
      <c r="B68" s="8" t="s">
        <v>22</v>
      </c>
      <c r="C68" s="12">
        <f t="shared" si="0"/>
        <v>0</v>
      </c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1" t="s">
        <v>27</v>
      </c>
    </row>
    <row r="69" spans="1:16" x14ac:dyDescent="0.3">
      <c r="A69" s="10" t="s">
        <v>48</v>
      </c>
      <c r="B69" s="8" t="s">
        <v>23</v>
      </c>
      <c r="C69" s="12">
        <f t="shared" si="0"/>
        <v>0</v>
      </c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" t="s">
        <v>27</v>
      </c>
    </row>
    <row r="70" spans="1:16" x14ac:dyDescent="0.3">
      <c r="A70" s="10" t="s">
        <v>48</v>
      </c>
      <c r="B70" s="8" t="s">
        <v>49</v>
      </c>
      <c r="C70" s="12">
        <f t="shared" si="0"/>
        <v>0</v>
      </c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" t="s">
        <v>27</v>
      </c>
    </row>
    <row r="71" spans="1:16" x14ac:dyDescent="0.3">
      <c r="A71" s="10" t="s">
        <v>48</v>
      </c>
      <c r="B71" s="8" t="s">
        <v>50</v>
      </c>
      <c r="C71" s="12">
        <f t="shared" si="0"/>
        <v>0.47</v>
      </c>
      <c r="D71" s="16"/>
      <c r="E71" s="16"/>
      <c r="F71" s="16"/>
      <c r="G71" s="16"/>
      <c r="H71" s="16"/>
      <c r="I71" s="16"/>
      <c r="J71" s="16"/>
      <c r="K71" s="16"/>
      <c r="L71" s="16">
        <v>0.22</v>
      </c>
      <c r="M71" s="16"/>
      <c r="N71" s="16"/>
      <c r="O71" s="16">
        <v>0.25</v>
      </c>
      <c r="P71" s="1" t="s">
        <v>27</v>
      </c>
    </row>
    <row r="72" spans="1:16" x14ac:dyDescent="0.3">
      <c r="A72" s="10" t="s">
        <v>48</v>
      </c>
      <c r="B72" s="8" t="s">
        <v>24</v>
      </c>
      <c r="C72" s="12">
        <f t="shared" si="0"/>
        <v>1.2970000000000002</v>
      </c>
      <c r="D72" s="16">
        <f>SUM(D64:D70)*10%</f>
        <v>0.1</v>
      </c>
      <c r="E72" s="16">
        <f>SUM(E64:E70)*10%</f>
        <v>0.11000000000000001</v>
      </c>
      <c r="F72" s="16">
        <f t="shared" ref="F72:O72" si="8">SUM(F64:F71)*10%</f>
        <v>0.1</v>
      </c>
      <c r="G72" s="16">
        <f t="shared" si="8"/>
        <v>0.1</v>
      </c>
      <c r="H72" s="16">
        <f t="shared" si="8"/>
        <v>0.11000000000000001</v>
      </c>
      <c r="I72" s="16">
        <f t="shared" si="8"/>
        <v>0.1</v>
      </c>
      <c r="J72" s="16">
        <f t="shared" si="8"/>
        <v>0.1</v>
      </c>
      <c r="K72" s="16">
        <f t="shared" si="8"/>
        <v>0.11000000000000001</v>
      </c>
      <c r="L72" s="16">
        <f t="shared" si="8"/>
        <v>0.122</v>
      </c>
      <c r="M72" s="16">
        <f t="shared" si="8"/>
        <v>0.1</v>
      </c>
      <c r="N72" s="16">
        <f t="shared" si="8"/>
        <v>0.11000000000000001</v>
      </c>
      <c r="O72" s="16">
        <f t="shared" si="8"/>
        <v>0.13500000000000001</v>
      </c>
      <c r="P72" s="1" t="s">
        <v>27</v>
      </c>
    </row>
    <row r="73" spans="1:16" x14ac:dyDescent="0.3">
      <c r="A73" s="10" t="s">
        <v>48</v>
      </c>
      <c r="B73" s="8" t="s">
        <v>51</v>
      </c>
      <c r="C73" s="12">
        <f t="shared" si="0"/>
        <v>20</v>
      </c>
      <c r="D73" s="16"/>
      <c r="E73" s="16"/>
      <c r="F73" s="16"/>
      <c r="G73" s="16"/>
      <c r="H73" s="16"/>
      <c r="I73" s="16">
        <v>5</v>
      </c>
      <c r="J73" s="16"/>
      <c r="K73" s="16"/>
      <c r="L73" s="16">
        <v>15</v>
      </c>
      <c r="M73" s="16"/>
      <c r="N73" s="16"/>
      <c r="O73" s="16"/>
      <c r="P73" s="1" t="s">
        <v>27</v>
      </c>
    </row>
    <row r="74" spans="1:16" x14ac:dyDescent="0.3">
      <c r="A74" s="10" t="s">
        <v>48</v>
      </c>
      <c r="B74" s="8" t="s">
        <v>52</v>
      </c>
      <c r="C74" s="12">
        <f t="shared" si="0"/>
        <v>2</v>
      </c>
      <c r="D74" s="9"/>
      <c r="E74" s="9"/>
      <c r="F74" s="9"/>
      <c r="G74" s="9"/>
      <c r="H74" s="9"/>
      <c r="I74" s="16">
        <v>2</v>
      </c>
      <c r="J74" s="9"/>
      <c r="K74" s="9"/>
      <c r="L74" s="9"/>
      <c r="M74" s="9"/>
      <c r="N74" s="9"/>
      <c r="O74" s="21"/>
      <c r="P74" s="1" t="s">
        <v>27</v>
      </c>
    </row>
    <row r="75" spans="1:16" x14ac:dyDescent="0.3">
      <c r="A75" s="10" t="s">
        <v>48</v>
      </c>
      <c r="B75" s="8" t="s">
        <v>53</v>
      </c>
      <c r="C75" s="12">
        <f t="shared" si="0"/>
        <v>25</v>
      </c>
      <c r="D75" s="9"/>
      <c r="E75" s="9"/>
      <c r="F75" s="9"/>
      <c r="G75" s="9"/>
      <c r="H75" s="9"/>
      <c r="I75" s="16">
        <v>20</v>
      </c>
      <c r="J75" s="16"/>
      <c r="K75" s="16"/>
      <c r="L75" s="16"/>
      <c r="M75" s="16"/>
      <c r="N75" s="16"/>
      <c r="O75" s="16">
        <v>5</v>
      </c>
      <c r="P75" s="1" t="s">
        <v>27</v>
      </c>
    </row>
    <row r="76" spans="1:16" x14ac:dyDescent="0.3">
      <c r="A76" s="10" t="s">
        <v>48</v>
      </c>
      <c r="B76" s="8" t="s">
        <v>54</v>
      </c>
      <c r="C76" s="12">
        <f t="shared" si="0"/>
        <v>142.79000000000002</v>
      </c>
      <c r="D76" s="12">
        <f>0.08</f>
        <v>0.08</v>
      </c>
      <c r="E76" s="12">
        <f>0.08+0.65</f>
        <v>0.73</v>
      </c>
      <c r="F76" s="12">
        <f>3.25+1.94</f>
        <v>5.1899999999999995</v>
      </c>
      <c r="G76" s="12">
        <f>0.08+5.17</f>
        <v>5.25</v>
      </c>
      <c r="H76" s="12">
        <f>0.08+8.91</f>
        <v>8.99</v>
      </c>
      <c r="I76" s="12">
        <f>3.25+11.49</f>
        <v>14.74</v>
      </c>
      <c r="J76" s="12">
        <f>0.08+18.98</f>
        <v>19.059999999999999</v>
      </c>
      <c r="K76" s="12">
        <f>0.08+20.79</f>
        <v>20.869999999999997</v>
      </c>
      <c r="L76" s="12">
        <f>3.25+17.56</f>
        <v>20.81</v>
      </c>
      <c r="M76" s="12">
        <f>0.08+15.76</f>
        <v>15.84</v>
      </c>
      <c r="N76" s="12">
        <f>0.08+13.63</f>
        <v>13.71</v>
      </c>
      <c r="O76" s="12">
        <f>3.25+14.27</f>
        <v>17.52</v>
      </c>
    </row>
    <row r="77" spans="1:16" x14ac:dyDescent="0.3">
      <c r="A77" s="10" t="s">
        <v>48</v>
      </c>
      <c r="B77" s="8" t="s">
        <v>55</v>
      </c>
      <c r="C77" s="12">
        <f t="shared" si="0"/>
        <v>185</v>
      </c>
      <c r="D77" s="9">
        <v>15</v>
      </c>
      <c r="E77" s="9">
        <v>13</v>
      </c>
      <c r="F77" s="9">
        <v>15</v>
      </c>
      <c r="G77" s="9">
        <v>14</v>
      </c>
      <c r="H77" s="9">
        <v>15</v>
      </c>
      <c r="I77" s="9">
        <v>19</v>
      </c>
      <c r="J77" s="9">
        <v>15</v>
      </c>
      <c r="K77" s="9">
        <v>15</v>
      </c>
      <c r="L77" s="9">
        <v>15</v>
      </c>
      <c r="M77" s="9">
        <v>15</v>
      </c>
      <c r="N77" s="9">
        <v>15</v>
      </c>
      <c r="O77" s="21">
        <v>19</v>
      </c>
    </row>
    <row r="78" spans="1:16" x14ac:dyDescent="0.3">
      <c r="A78" s="14" t="s">
        <v>48</v>
      </c>
      <c r="B78" s="14" t="s">
        <v>3</v>
      </c>
      <c r="C78" s="15">
        <f t="shared" si="0"/>
        <v>389.05700000000002</v>
      </c>
      <c r="D78" s="15">
        <f>SUM(D64:D77)</f>
        <v>16.18</v>
      </c>
      <c r="E78" s="15">
        <f t="shared" ref="E78:O78" si="9">SUM(E64:E77)</f>
        <v>14.94</v>
      </c>
      <c r="F78" s="15">
        <f t="shared" si="9"/>
        <v>21.29</v>
      </c>
      <c r="G78" s="15">
        <f t="shared" si="9"/>
        <v>20.350000000000001</v>
      </c>
      <c r="H78" s="15">
        <f t="shared" si="9"/>
        <v>25.200000000000003</v>
      </c>
      <c r="I78" s="15">
        <f t="shared" si="9"/>
        <v>61.84</v>
      </c>
      <c r="J78" s="15">
        <f t="shared" si="9"/>
        <v>35.159999999999997</v>
      </c>
      <c r="K78" s="15">
        <f t="shared" si="9"/>
        <v>37.08</v>
      </c>
      <c r="L78" s="15">
        <f t="shared" si="9"/>
        <v>52.152000000000001</v>
      </c>
      <c r="M78" s="15">
        <f t="shared" si="9"/>
        <v>31.94</v>
      </c>
      <c r="N78" s="15">
        <f t="shared" si="9"/>
        <v>29.92</v>
      </c>
      <c r="O78" s="24">
        <f t="shared" si="9"/>
        <v>43.004999999999995</v>
      </c>
      <c r="P78" s="1" t="s">
        <v>27</v>
      </c>
    </row>
    <row r="79" spans="1:16" x14ac:dyDescent="0.3">
      <c r="A79" s="10" t="s">
        <v>56</v>
      </c>
      <c r="B79" s="8" t="s">
        <v>18</v>
      </c>
      <c r="C79" s="12">
        <f t="shared" ref="C79:C142" si="10">SUM(D79:O79)</f>
        <v>70</v>
      </c>
      <c r="D79" s="9">
        <v>2</v>
      </c>
      <c r="E79" s="9"/>
      <c r="F79" s="9">
        <v>2</v>
      </c>
      <c r="G79" s="9">
        <v>2</v>
      </c>
      <c r="H79" s="9">
        <v>2</v>
      </c>
      <c r="I79" s="9">
        <v>6</v>
      </c>
      <c r="J79" s="9">
        <v>7</v>
      </c>
      <c r="K79" s="9">
        <v>5</v>
      </c>
      <c r="L79" s="9">
        <v>11</v>
      </c>
      <c r="M79" s="9">
        <v>11</v>
      </c>
      <c r="N79" s="9">
        <v>11</v>
      </c>
      <c r="O79" s="9">
        <v>11</v>
      </c>
      <c r="P79" s="1" t="s">
        <v>19</v>
      </c>
    </row>
    <row r="80" spans="1:16" x14ac:dyDescent="0.3">
      <c r="A80" s="10" t="s">
        <v>56</v>
      </c>
      <c r="B80" s="8" t="s">
        <v>20</v>
      </c>
      <c r="C80" s="12">
        <f t="shared" si="10"/>
        <v>64</v>
      </c>
      <c r="D80" s="9">
        <v>2</v>
      </c>
      <c r="E80" s="9">
        <v>2</v>
      </c>
      <c r="F80" s="9">
        <v>4</v>
      </c>
      <c r="G80" s="9">
        <v>2</v>
      </c>
      <c r="H80" s="9">
        <v>2</v>
      </c>
      <c r="I80" s="9">
        <v>4</v>
      </c>
      <c r="J80" s="9">
        <v>6</v>
      </c>
      <c r="K80" s="9">
        <v>8</v>
      </c>
      <c r="L80" s="9">
        <v>8</v>
      </c>
      <c r="M80" s="9">
        <v>8</v>
      </c>
      <c r="N80" s="9">
        <v>8</v>
      </c>
      <c r="O80" s="9">
        <v>10</v>
      </c>
      <c r="P80" s="1" t="s">
        <v>19</v>
      </c>
    </row>
    <row r="81" spans="1:16" x14ac:dyDescent="0.3">
      <c r="A81" s="10" t="s">
        <v>56</v>
      </c>
      <c r="B81" s="8" t="s">
        <v>21</v>
      </c>
      <c r="C81" s="12">
        <f t="shared" si="10"/>
        <v>0</v>
      </c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1" t="s">
        <v>19</v>
      </c>
    </row>
    <row r="82" spans="1:16" x14ac:dyDescent="0.3">
      <c r="A82" s="10" t="s">
        <v>56</v>
      </c>
      <c r="B82" s="8" t="s">
        <v>22</v>
      </c>
      <c r="C82" s="12">
        <f t="shared" si="10"/>
        <v>0</v>
      </c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1" t="s">
        <v>19</v>
      </c>
    </row>
    <row r="83" spans="1:16" x14ac:dyDescent="0.3">
      <c r="A83" s="10" t="s">
        <v>56</v>
      </c>
      <c r="B83" s="8" t="s">
        <v>23</v>
      </c>
      <c r="C83" s="12">
        <f t="shared" si="10"/>
        <v>4.8</v>
      </c>
      <c r="D83" s="9">
        <v>0.4</v>
      </c>
      <c r="E83" s="9">
        <v>0.4</v>
      </c>
      <c r="F83" s="9">
        <v>0.4</v>
      </c>
      <c r="G83" s="9">
        <v>0.4</v>
      </c>
      <c r="H83" s="9">
        <v>0.4</v>
      </c>
      <c r="I83" s="9">
        <v>0.4</v>
      </c>
      <c r="J83" s="9">
        <v>0.4</v>
      </c>
      <c r="K83" s="9">
        <v>0.4</v>
      </c>
      <c r="L83" s="9">
        <v>0.4</v>
      </c>
      <c r="M83" s="9">
        <v>0.4</v>
      </c>
      <c r="N83" s="9">
        <v>0.4</v>
      </c>
      <c r="O83" s="9">
        <v>0.4</v>
      </c>
      <c r="P83" s="1" t="s">
        <v>19</v>
      </c>
    </row>
    <row r="84" spans="1:16" x14ac:dyDescent="0.3">
      <c r="A84" s="10" t="s">
        <v>56</v>
      </c>
      <c r="B84" s="8" t="s">
        <v>24</v>
      </c>
      <c r="C84" s="12">
        <f t="shared" si="10"/>
        <v>6</v>
      </c>
      <c r="D84" s="9"/>
      <c r="E84" s="9"/>
      <c r="F84" s="9">
        <v>1</v>
      </c>
      <c r="G84" s="9"/>
      <c r="H84" s="9">
        <v>1</v>
      </c>
      <c r="I84" s="9">
        <v>1</v>
      </c>
      <c r="J84" s="9"/>
      <c r="K84" s="9"/>
      <c r="L84" s="9">
        <v>1</v>
      </c>
      <c r="M84" s="9"/>
      <c r="N84" s="9">
        <v>1</v>
      </c>
      <c r="O84" s="9">
        <v>1</v>
      </c>
      <c r="P84" s="1" t="s">
        <v>19</v>
      </c>
    </row>
    <row r="85" spans="1:16" x14ac:dyDescent="0.3">
      <c r="A85" s="14" t="s">
        <v>56</v>
      </c>
      <c r="B85" s="14" t="s">
        <v>3</v>
      </c>
      <c r="C85" s="15">
        <f t="shared" si="10"/>
        <v>144.80000000000001</v>
      </c>
      <c r="D85" s="15">
        <f>SUM(D79:D84)</f>
        <v>4.4000000000000004</v>
      </c>
      <c r="E85" s="15">
        <f t="shared" ref="E85:O85" si="11">SUM(E79:E84)</f>
        <v>2.4</v>
      </c>
      <c r="F85" s="15">
        <f t="shared" si="11"/>
        <v>7.4</v>
      </c>
      <c r="G85" s="15">
        <f t="shared" si="11"/>
        <v>4.4000000000000004</v>
      </c>
      <c r="H85" s="15">
        <f t="shared" si="11"/>
        <v>5.4</v>
      </c>
      <c r="I85" s="15">
        <f t="shared" si="11"/>
        <v>11.4</v>
      </c>
      <c r="J85" s="15">
        <f t="shared" si="11"/>
        <v>13.4</v>
      </c>
      <c r="K85" s="15">
        <f t="shared" si="11"/>
        <v>13.4</v>
      </c>
      <c r="L85" s="15">
        <f t="shared" si="11"/>
        <v>20.399999999999999</v>
      </c>
      <c r="M85" s="15">
        <f t="shared" si="11"/>
        <v>19.399999999999999</v>
      </c>
      <c r="N85" s="15">
        <f t="shared" si="11"/>
        <v>20.399999999999999</v>
      </c>
      <c r="O85" s="15">
        <f t="shared" si="11"/>
        <v>22.4</v>
      </c>
      <c r="P85" s="1" t="s">
        <v>19</v>
      </c>
    </row>
    <row r="86" spans="1:16" x14ac:dyDescent="0.3">
      <c r="A86" s="22" t="s">
        <v>57</v>
      </c>
      <c r="B86" s="8" t="s">
        <v>18</v>
      </c>
      <c r="C86" s="23">
        <f t="shared" si="10"/>
        <v>12</v>
      </c>
      <c r="D86" s="9">
        <v>1</v>
      </c>
      <c r="E86" s="9">
        <v>1</v>
      </c>
      <c r="F86" s="9">
        <v>1</v>
      </c>
      <c r="G86" s="9">
        <v>1</v>
      </c>
      <c r="H86" s="9">
        <v>1</v>
      </c>
      <c r="I86" s="9">
        <v>1</v>
      </c>
      <c r="J86" s="9">
        <v>1</v>
      </c>
      <c r="K86" s="9">
        <v>1</v>
      </c>
      <c r="L86" s="9">
        <v>1</v>
      </c>
      <c r="M86" s="9">
        <v>1</v>
      </c>
      <c r="N86" s="9">
        <v>1</v>
      </c>
      <c r="O86" s="9">
        <v>1</v>
      </c>
      <c r="P86" s="1" t="s">
        <v>19</v>
      </c>
    </row>
    <row r="87" spans="1:16" x14ac:dyDescent="0.3">
      <c r="A87" s="22" t="s">
        <v>57</v>
      </c>
      <c r="B87" s="8" t="s">
        <v>20</v>
      </c>
      <c r="C87" s="23">
        <f t="shared" si="10"/>
        <v>1</v>
      </c>
      <c r="D87" s="9">
        <v>0.2</v>
      </c>
      <c r="E87" s="9"/>
      <c r="F87" s="9"/>
      <c r="G87" s="9">
        <v>0.2</v>
      </c>
      <c r="H87" s="9"/>
      <c r="I87" s="9"/>
      <c r="J87" s="9">
        <v>0.2</v>
      </c>
      <c r="K87" s="9"/>
      <c r="L87" s="9"/>
      <c r="M87" s="9">
        <v>0.2</v>
      </c>
      <c r="N87" s="9"/>
      <c r="O87" s="9">
        <v>0.2</v>
      </c>
      <c r="P87" s="1" t="s">
        <v>19</v>
      </c>
    </row>
    <row r="88" spans="1:16" x14ac:dyDescent="0.3">
      <c r="A88" s="22" t="s">
        <v>57</v>
      </c>
      <c r="B88" s="8" t="s">
        <v>21</v>
      </c>
      <c r="C88" s="23">
        <f t="shared" si="10"/>
        <v>0</v>
      </c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1" t="s">
        <v>19</v>
      </c>
    </row>
    <row r="89" spans="1:16" x14ac:dyDescent="0.3">
      <c r="A89" s="22" t="s">
        <v>57</v>
      </c>
      <c r="B89" s="8" t="s">
        <v>22</v>
      </c>
      <c r="C89" s="23">
        <f t="shared" si="10"/>
        <v>1.5</v>
      </c>
      <c r="D89" s="9"/>
      <c r="E89" s="9"/>
      <c r="F89" s="9">
        <v>0.5</v>
      </c>
      <c r="G89" s="9"/>
      <c r="H89" s="9"/>
      <c r="I89" s="9">
        <v>0.5</v>
      </c>
      <c r="J89" s="9"/>
      <c r="K89" s="9"/>
      <c r="L89" s="9">
        <v>0.5</v>
      </c>
      <c r="M89" s="9"/>
      <c r="N89" s="9"/>
      <c r="O89" s="9"/>
      <c r="P89" s="1" t="s">
        <v>19</v>
      </c>
    </row>
    <row r="90" spans="1:16" x14ac:dyDescent="0.3">
      <c r="A90" s="22" t="s">
        <v>57</v>
      </c>
      <c r="B90" s="8" t="s">
        <v>23</v>
      </c>
      <c r="C90" s="23">
        <f t="shared" si="10"/>
        <v>0</v>
      </c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1" t="s">
        <v>19</v>
      </c>
    </row>
    <row r="91" spans="1:16" x14ac:dyDescent="0.3">
      <c r="A91" s="22" t="s">
        <v>57</v>
      </c>
      <c r="B91" s="8" t="s">
        <v>24</v>
      </c>
      <c r="C91" s="23">
        <f t="shared" si="10"/>
        <v>1</v>
      </c>
      <c r="D91" s="9">
        <v>0.2</v>
      </c>
      <c r="E91" s="9"/>
      <c r="F91" s="9">
        <v>0.2</v>
      </c>
      <c r="G91" s="9"/>
      <c r="H91" s="9"/>
      <c r="I91" s="9"/>
      <c r="J91" s="9"/>
      <c r="K91" s="9">
        <v>0.2</v>
      </c>
      <c r="L91" s="9"/>
      <c r="M91" s="9">
        <v>0.2</v>
      </c>
      <c r="N91" s="9"/>
      <c r="O91" s="9">
        <v>0.2</v>
      </c>
      <c r="P91" s="1" t="s">
        <v>19</v>
      </c>
    </row>
    <row r="92" spans="1:16" x14ac:dyDescent="0.3">
      <c r="A92" s="14" t="s">
        <v>57</v>
      </c>
      <c r="B92" s="14" t="s">
        <v>3</v>
      </c>
      <c r="C92" s="25">
        <f t="shared" si="10"/>
        <v>15.5</v>
      </c>
      <c r="D92" s="25">
        <f>SUM(D86:D91)</f>
        <v>1.4</v>
      </c>
      <c r="E92" s="25">
        <f t="shared" ref="E92:O92" si="12">SUM(E86:E91)</f>
        <v>1</v>
      </c>
      <c r="F92" s="25">
        <f t="shared" si="12"/>
        <v>1.7</v>
      </c>
      <c r="G92" s="25">
        <f t="shared" si="12"/>
        <v>1.2</v>
      </c>
      <c r="H92" s="25">
        <f t="shared" si="12"/>
        <v>1</v>
      </c>
      <c r="I92" s="25">
        <f t="shared" si="12"/>
        <v>1.5</v>
      </c>
      <c r="J92" s="25">
        <f t="shared" si="12"/>
        <v>1.2</v>
      </c>
      <c r="K92" s="25">
        <f t="shared" si="12"/>
        <v>1.2</v>
      </c>
      <c r="L92" s="25">
        <f t="shared" si="12"/>
        <v>1.5</v>
      </c>
      <c r="M92" s="25">
        <f t="shared" si="12"/>
        <v>1.4</v>
      </c>
      <c r="N92" s="25">
        <f t="shared" si="12"/>
        <v>1</v>
      </c>
      <c r="O92" s="25">
        <f t="shared" si="12"/>
        <v>1.4</v>
      </c>
      <c r="P92" s="1" t="s">
        <v>19</v>
      </c>
    </row>
    <row r="93" spans="1:16" x14ac:dyDescent="0.3">
      <c r="A93" s="10" t="s">
        <v>58</v>
      </c>
      <c r="B93" s="8" t="s">
        <v>18</v>
      </c>
      <c r="C93" s="12">
        <f t="shared" si="10"/>
        <v>10</v>
      </c>
      <c r="D93" s="9">
        <v>0.5</v>
      </c>
      <c r="E93" s="9">
        <v>0.5</v>
      </c>
      <c r="F93" s="9">
        <v>0.5</v>
      </c>
      <c r="G93" s="9">
        <v>0.5</v>
      </c>
      <c r="H93" s="9">
        <v>0.5</v>
      </c>
      <c r="I93" s="9">
        <v>0.5</v>
      </c>
      <c r="J93" s="9">
        <v>1</v>
      </c>
      <c r="K93" s="9">
        <v>1</v>
      </c>
      <c r="L93" s="9">
        <v>1</v>
      </c>
      <c r="M93" s="9">
        <v>1</v>
      </c>
      <c r="N93" s="9">
        <v>1.5</v>
      </c>
      <c r="O93" s="9">
        <v>1.5</v>
      </c>
      <c r="P93" s="1" t="s">
        <v>59</v>
      </c>
    </row>
    <row r="94" spans="1:16" x14ac:dyDescent="0.3">
      <c r="A94" s="10" t="s">
        <v>58</v>
      </c>
      <c r="B94" s="8" t="s">
        <v>20</v>
      </c>
      <c r="C94" s="12">
        <f t="shared" si="10"/>
        <v>12</v>
      </c>
      <c r="D94" s="9">
        <v>1</v>
      </c>
      <c r="E94" s="9">
        <v>1</v>
      </c>
      <c r="F94" s="9">
        <v>1</v>
      </c>
      <c r="G94" s="9">
        <v>1</v>
      </c>
      <c r="H94" s="9">
        <v>1</v>
      </c>
      <c r="I94" s="9">
        <v>1</v>
      </c>
      <c r="J94" s="9">
        <v>1</v>
      </c>
      <c r="K94" s="9">
        <v>1</v>
      </c>
      <c r="L94" s="9">
        <v>1</v>
      </c>
      <c r="M94" s="9">
        <v>1</v>
      </c>
      <c r="N94" s="9">
        <v>1</v>
      </c>
      <c r="O94" s="9">
        <v>1</v>
      </c>
      <c r="P94" s="1" t="s">
        <v>59</v>
      </c>
    </row>
    <row r="95" spans="1:16" x14ac:dyDescent="0.3">
      <c r="A95" s="10" t="s">
        <v>58</v>
      </c>
      <c r="B95" s="8" t="s">
        <v>21</v>
      </c>
      <c r="C95" s="12">
        <f t="shared" si="10"/>
        <v>0.6</v>
      </c>
      <c r="D95" s="9">
        <v>0.05</v>
      </c>
      <c r="E95" s="9">
        <v>0.05</v>
      </c>
      <c r="F95" s="9">
        <v>0.05</v>
      </c>
      <c r="G95" s="9">
        <v>0.05</v>
      </c>
      <c r="H95" s="9">
        <v>0.05</v>
      </c>
      <c r="I95" s="9">
        <v>0.05</v>
      </c>
      <c r="J95" s="9">
        <v>0.05</v>
      </c>
      <c r="K95" s="9">
        <v>0.05</v>
      </c>
      <c r="L95" s="9">
        <v>0.05</v>
      </c>
      <c r="M95" s="9">
        <v>0.05</v>
      </c>
      <c r="N95" s="9">
        <v>0.05</v>
      </c>
      <c r="O95" s="9">
        <v>0.05</v>
      </c>
      <c r="P95" s="1" t="s">
        <v>59</v>
      </c>
    </row>
    <row r="96" spans="1:16" x14ac:dyDescent="0.3">
      <c r="A96" s="10" t="s">
        <v>58</v>
      </c>
      <c r="B96" s="8" t="s">
        <v>23</v>
      </c>
      <c r="C96" s="12">
        <f t="shared" si="10"/>
        <v>0</v>
      </c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1" t="s">
        <v>59</v>
      </c>
    </row>
    <row r="97" spans="1:16" x14ac:dyDescent="0.3">
      <c r="A97" s="10" t="s">
        <v>58</v>
      </c>
      <c r="B97" s="8" t="s">
        <v>24</v>
      </c>
      <c r="C97" s="12">
        <f t="shared" si="10"/>
        <v>0</v>
      </c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1" t="s">
        <v>59</v>
      </c>
    </row>
    <row r="98" spans="1:16" x14ac:dyDescent="0.3">
      <c r="A98" s="10" t="s">
        <v>58</v>
      </c>
      <c r="B98" s="8" t="s">
        <v>60</v>
      </c>
      <c r="C98" s="12">
        <f t="shared" si="10"/>
        <v>20</v>
      </c>
      <c r="D98" s="9"/>
      <c r="E98" s="9"/>
      <c r="F98" s="9">
        <v>5</v>
      </c>
      <c r="G98" s="9"/>
      <c r="H98" s="9"/>
      <c r="I98" s="9">
        <v>5</v>
      </c>
      <c r="J98" s="9"/>
      <c r="K98" s="9"/>
      <c r="L98" s="9">
        <v>5</v>
      </c>
      <c r="M98" s="9"/>
      <c r="N98" s="9"/>
      <c r="O98" s="9">
        <v>5</v>
      </c>
      <c r="P98" s="1" t="s">
        <v>59</v>
      </c>
    </row>
    <row r="99" spans="1:16" x14ac:dyDescent="0.3">
      <c r="A99" s="10" t="s">
        <v>58</v>
      </c>
      <c r="B99" s="7" t="s">
        <v>61</v>
      </c>
      <c r="C99" s="12">
        <f t="shared" si="10"/>
        <v>20</v>
      </c>
      <c r="D99" s="9"/>
      <c r="E99" s="9"/>
      <c r="F99" s="9"/>
      <c r="G99" s="9"/>
      <c r="H99" s="9">
        <v>10</v>
      </c>
      <c r="I99" s="9"/>
      <c r="J99" s="9"/>
      <c r="K99" s="9"/>
      <c r="L99" s="9"/>
      <c r="M99" s="9">
        <v>10</v>
      </c>
      <c r="N99" s="9"/>
      <c r="O99" s="9"/>
      <c r="P99" s="1" t="s">
        <v>59</v>
      </c>
    </row>
    <row r="100" spans="1:16" x14ac:dyDescent="0.3">
      <c r="A100" s="10" t="s">
        <v>58</v>
      </c>
      <c r="B100" s="8" t="s">
        <v>62</v>
      </c>
      <c r="C100" s="12">
        <f t="shared" si="10"/>
        <v>4.8</v>
      </c>
      <c r="D100" s="9">
        <v>0.4</v>
      </c>
      <c r="E100" s="9">
        <v>0.4</v>
      </c>
      <c r="F100" s="9">
        <v>0.4</v>
      </c>
      <c r="G100" s="9">
        <v>0.4</v>
      </c>
      <c r="H100" s="9">
        <v>0.4</v>
      </c>
      <c r="I100" s="9">
        <v>0.4</v>
      </c>
      <c r="J100" s="9">
        <v>0.4</v>
      </c>
      <c r="K100" s="9">
        <v>0.4</v>
      </c>
      <c r="L100" s="9">
        <v>0.4</v>
      </c>
      <c r="M100" s="9">
        <v>0.4</v>
      </c>
      <c r="N100" s="9">
        <v>0.4</v>
      </c>
      <c r="O100" s="9">
        <v>0.4</v>
      </c>
      <c r="P100" s="1" t="s">
        <v>59</v>
      </c>
    </row>
    <row r="101" spans="1:16" x14ac:dyDescent="0.3">
      <c r="A101" s="10" t="s">
        <v>58</v>
      </c>
      <c r="B101" s="8" t="s">
        <v>63</v>
      </c>
      <c r="C101" s="12">
        <f t="shared" si="10"/>
        <v>0</v>
      </c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1" t="s">
        <v>59</v>
      </c>
    </row>
    <row r="102" spans="1:16" x14ac:dyDescent="0.3">
      <c r="A102" s="10" t="s">
        <v>58</v>
      </c>
      <c r="B102" s="8" t="s">
        <v>64</v>
      </c>
      <c r="C102" s="12">
        <f t="shared" si="10"/>
        <v>0</v>
      </c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1" t="s">
        <v>59</v>
      </c>
    </row>
    <row r="103" spans="1:16" x14ac:dyDescent="0.3">
      <c r="A103" s="26" t="s">
        <v>58</v>
      </c>
      <c r="B103" s="26" t="s">
        <v>3</v>
      </c>
      <c r="C103" s="27">
        <f t="shared" si="10"/>
        <v>67.400000000000006</v>
      </c>
      <c r="D103" s="27">
        <f t="shared" ref="D103:O103" si="13">SUM(D93:D102)</f>
        <v>1.9500000000000002</v>
      </c>
      <c r="E103" s="27">
        <f t="shared" si="13"/>
        <v>1.9500000000000002</v>
      </c>
      <c r="F103" s="27">
        <f t="shared" si="13"/>
        <v>6.95</v>
      </c>
      <c r="G103" s="27">
        <f t="shared" si="13"/>
        <v>1.9500000000000002</v>
      </c>
      <c r="H103" s="27">
        <f t="shared" si="13"/>
        <v>11.950000000000001</v>
      </c>
      <c r="I103" s="27">
        <f t="shared" si="13"/>
        <v>6.95</v>
      </c>
      <c r="J103" s="27">
        <f t="shared" si="13"/>
        <v>2.4499999999999997</v>
      </c>
      <c r="K103" s="27">
        <f t="shared" si="13"/>
        <v>2.4499999999999997</v>
      </c>
      <c r="L103" s="27">
        <f t="shared" si="13"/>
        <v>7.45</v>
      </c>
      <c r="M103" s="27">
        <f t="shared" si="13"/>
        <v>12.450000000000001</v>
      </c>
      <c r="N103" s="27">
        <f t="shared" si="13"/>
        <v>2.9499999999999997</v>
      </c>
      <c r="O103" s="27">
        <f t="shared" si="13"/>
        <v>7.95</v>
      </c>
      <c r="P103" s="1" t="s">
        <v>59</v>
      </c>
    </row>
    <row r="104" spans="1:16" x14ac:dyDescent="0.3">
      <c r="A104" s="10" t="s">
        <v>65</v>
      </c>
      <c r="B104" s="8" t="s">
        <v>18</v>
      </c>
      <c r="C104" s="12">
        <f t="shared" si="10"/>
        <v>2.4</v>
      </c>
      <c r="D104" s="16">
        <v>0.2</v>
      </c>
      <c r="E104" s="16">
        <v>0.2</v>
      </c>
      <c r="F104" s="16">
        <v>0.2</v>
      </c>
      <c r="G104" s="16">
        <v>0.2</v>
      </c>
      <c r="H104" s="16">
        <v>0.2</v>
      </c>
      <c r="I104" s="16">
        <v>0.2</v>
      </c>
      <c r="J104" s="16">
        <v>0.2</v>
      </c>
      <c r="K104" s="16">
        <v>0.2</v>
      </c>
      <c r="L104" s="16">
        <v>0.2</v>
      </c>
      <c r="M104" s="16">
        <v>0.2</v>
      </c>
      <c r="N104" s="16">
        <v>0.2</v>
      </c>
      <c r="O104" s="16">
        <v>0.2</v>
      </c>
      <c r="P104" s="1" t="s">
        <v>27</v>
      </c>
    </row>
    <row r="105" spans="1:16" x14ac:dyDescent="0.3">
      <c r="A105" s="10" t="s">
        <v>65</v>
      </c>
      <c r="B105" s="8" t="s">
        <v>20</v>
      </c>
      <c r="C105" s="12">
        <f t="shared" si="10"/>
        <v>3.5999999999999992</v>
      </c>
      <c r="D105" s="16">
        <v>0.3</v>
      </c>
      <c r="E105" s="16">
        <v>0.3</v>
      </c>
      <c r="F105" s="16">
        <v>0.3</v>
      </c>
      <c r="G105" s="16">
        <v>0.3</v>
      </c>
      <c r="H105" s="16">
        <v>0.3</v>
      </c>
      <c r="I105" s="16">
        <v>0.3</v>
      </c>
      <c r="J105" s="16">
        <v>0.3</v>
      </c>
      <c r="K105" s="16">
        <v>0.3</v>
      </c>
      <c r="L105" s="16">
        <v>0.3</v>
      </c>
      <c r="M105" s="16">
        <v>0.3</v>
      </c>
      <c r="N105" s="16">
        <v>0.3</v>
      </c>
      <c r="O105" s="16">
        <v>0.3</v>
      </c>
      <c r="P105" s="1" t="s">
        <v>27</v>
      </c>
    </row>
    <row r="106" spans="1:16" x14ac:dyDescent="0.3">
      <c r="A106" s="10" t="s">
        <v>65</v>
      </c>
      <c r="B106" s="8" t="s">
        <v>21</v>
      </c>
      <c r="C106" s="12">
        <f t="shared" si="10"/>
        <v>0.11999999999999998</v>
      </c>
      <c r="D106" s="16">
        <v>0.01</v>
      </c>
      <c r="E106" s="16">
        <v>0.01</v>
      </c>
      <c r="F106" s="16">
        <v>0.01</v>
      </c>
      <c r="G106" s="16">
        <v>0.01</v>
      </c>
      <c r="H106" s="16">
        <v>0.01</v>
      </c>
      <c r="I106" s="16">
        <v>0.01</v>
      </c>
      <c r="J106" s="16">
        <v>0.01</v>
      </c>
      <c r="K106" s="16">
        <v>0.01</v>
      </c>
      <c r="L106" s="16">
        <v>0.01</v>
      </c>
      <c r="M106" s="16">
        <v>0.01</v>
      </c>
      <c r="N106" s="16">
        <v>0.01</v>
      </c>
      <c r="O106" s="16">
        <v>0.01</v>
      </c>
      <c r="P106" s="1" t="s">
        <v>27</v>
      </c>
    </row>
    <row r="107" spans="1:16" x14ac:dyDescent="0.3">
      <c r="A107" s="10" t="s">
        <v>65</v>
      </c>
      <c r="B107" s="8" t="s">
        <v>22</v>
      </c>
      <c r="C107" s="12">
        <f t="shared" si="10"/>
        <v>0</v>
      </c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1" t="s">
        <v>27</v>
      </c>
    </row>
    <row r="108" spans="1:16" x14ac:dyDescent="0.3">
      <c r="A108" s="10" t="s">
        <v>65</v>
      </c>
      <c r="B108" s="8" t="s">
        <v>23</v>
      </c>
      <c r="C108" s="12">
        <f t="shared" si="10"/>
        <v>2.4</v>
      </c>
      <c r="D108" s="16">
        <v>0.2</v>
      </c>
      <c r="E108" s="16">
        <v>0.2</v>
      </c>
      <c r="F108" s="16">
        <v>0.2</v>
      </c>
      <c r="G108" s="16">
        <v>0.2</v>
      </c>
      <c r="H108" s="16">
        <v>0.2</v>
      </c>
      <c r="I108" s="16">
        <v>0.2</v>
      </c>
      <c r="J108" s="16">
        <v>0.2</v>
      </c>
      <c r="K108" s="16">
        <v>0.2</v>
      </c>
      <c r="L108" s="16">
        <v>0.2</v>
      </c>
      <c r="M108" s="16">
        <v>0.2</v>
      </c>
      <c r="N108" s="16">
        <v>0.2</v>
      </c>
      <c r="O108" s="16">
        <v>0.2</v>
      </c>
      <c r="P108" s="1" t="s">
        <v>27</v>
      </c>
    </row>
    <row r="109" spans="1:16" x14ac:dyDescent="0.3">
      <c r="A109" s="10" t="s">
        <v>65</v>
      </c>
      <c r="B109" s="8" t="s">
        <v>24</v>
      </c>
      <c r="C109" s="12">
        <f t="shared" si="10"/>
        <v>0</v>
      </c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1" t="s">
        <v>27</v>
      </c>
    </row>
    <row r="110" spans="1:16" x14ac:dyDescent="0.3">
      <c r="A110" s="10" t="s">
        <v>65</v>
      </c>
      <c r="B110" s="8" t="s">
        <v>66</v>
      </c>
      <c r="C110" s="12">
        <f t="shared" si="10"/>
        <v>800</v>
      </c>
      <c r="D110" s="16"/>
      <c r="E110" s="16"/>
      <c r="F110" s="16">
        <v>800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" t="s">
        <v>27</v>
      </c>
    </row>
    <row r="111" spans="1:16" x14ac:dyDescent="0.3">
      <c r="A111" s="14" t="s">
        <v>65</v>
      </c>
      <c r="B111" s="14" t="s">
        <v>3</v>
      </c>
      <c r="C111" s="15">
        <f t="shared" si="10"/>
        <v>808.52000000000032</v>
      </c>
      <c r="D111" s="15">
        <f>SUM(D104:D110)</f>
        <v>0.71</v>
      </c>
      <c r="E111" s="15">
        <f t="shared" ref="E111:O111" si="14">SUM(E104:E110)</f>
        <v>0.71</v>
      </c>
      <c r="F111" s="15">
        <f t="shared" si="14"/>
        <v>800.71</v>
      </c>
      <c r="G111" s="15">
        <f t="shared" si="14"/>
        <v>0.71</v>
      </c>
      <c r="H111" s="15">
        <f t="shared" si="14"/>
        <v>0.71</v>
      </c>
      <c r="I111" s="15">
        <f t="shared" si="14"/>
        <v>0.71</v>
      </c>
      <c r="J111" s="15">
        <f t="shared" si="14"/>
        <v>0.71</v>
      </c>
      <c r="K111" s="15">
        <f t="shared" si="14"/>
        <v>0.71</v>
      </c>
      <c r="L111" s="15">
        <f t="shared" si="14"/>
        <v>0.71</v>
      </c>
      <c r="M111" s="15">
        <f t="shared" si="14"/>
        <v>0.71</v>
      </c>
      <c r="N111" s="15">
        <f t="shared" si="14"/>
        <v>0.71</v>
      </c>
      <c r="O111" s="15">
        <f t="shared" si="14"/>
        <v>0.71</v>
      </c>
      <c r="P111" s="1" t="s">
        <v>27</v>
      </c>
    </row>
    <row r="112" spans="1:16" x14ac:dyDescent="0.3">
      <c r="A112" s="10" t="s">
        <v>67</v>
      </c>
      <c r="B112" s="8" t="s">
        <v>18</v>
      </c>
      <c r="C112" s="12">
        <f t="shared" si="10"/>
        <v>54.400000000000006</v>
      </c>
      <c r="D112" s="17">
        <f>0.3+0.5</f>
        <v>0.8</v>
      </c>
      <c r="E112" s="17">
        <f>0.3+0.5</f>
        <v>0.8</v>
      </c>
      <c r="F112" s="17">
        <f>0.3+1.8</f>
        <v>2.1</v>
      </c>
      <c r="G112" s="17">
        <f>0.3+1.8</f>
        <v>2.1</v>
      </c>
      <c r="H112" s="17">
        <f>0.3+2.3</f>
        <v>2.5999999999999996</v>
      </c>
      <c r="I112" s="17">
        <f>0.3+5.6</f>
        <v>5.8999999999999995</v>
      </c>
      <c r="J112" s="17">
        <f>0.3+6.3</f>
        <v>6.6</v>
      </c>
      <c r="K112" s="17">
        <f>0.3+5.8</f>
        <v>6.1</v>
      </c>
      <c r="L112" s="17">
        <f>0.3+5.8</f>
        <v>6.1</v>
      </c>
      <c r="M112" s="17">
        <f>0.3+6.8</f>
        <v>7.1</v>
      </c>
      <c r="N112" s="17">
        <f>0.3+6.8</f>
        <v>7.1</v>
      </c>
      <c r="O112" s="17">
        <f>0.3+6.8</f>
        <v>7.1</v>
      </c>
      <c r="P112" s="1" t="s">
        <v>59</v>
      </c>
    </row>
    <row r="113" spans="1:16" x14ac:dyDescent="0.3">
      <c r="A113" s="10" t="s">
        <v>67</v>
      </c>
      <c r="B113" s="8" t="s">
        <v>20</v>
      </c>
      <c r="C113" s="12">
        <f t="shared" si="10"/>
        <v>21.3</v>
      </c>
      <c r="D113" s="17">
        <f>0.1+0.65</f>
        <v>0.75</v>
      </c>
      <c r="E113" s="17">
        <f>0.1+0.65</f>
        <v>0.75</v>
      </c>
      <c r="F113" s="17">
        <f>0.1+0.95</f>
        <v>1.05</v>
      </c>
      <c r="G113" s="17">
        <f>0.1+0.95</f>
        <v>1.05</v>
      </c>
      <c r="H113" s="17">
        <f>0.1+0.95</f>
        <v>1.05</v>
      </c>
      <c r="I113" s="17">
        <f>0.1+2.15</f>
        <v>2.25</v>
      </c>
      <c r="J113" s="17">
        <f>0.1+2.15</f>
        <v>2.25</v>
      </c>
      <c r="K113" s="17">
        <f>0.1+2.15</f>
        <v>2.25</v>
      </c>
      <c r="L113" s="17">
        <f>0.1+2.15</f>
        <v>2.25</v>
      </c>
      <c r="M113" s="17">
        <f>0.1+2.45</f>
        <v>2.5500000000000003</v>
      </c>
      <c r="N113" s="17">
        <f>0.1+2.45</f>
        <v>2.5500000000000003</v>
      </c>
      <c r="O113" s="17">
        <f>0.1+2.45</f>
        <v>2.5500000000000003</v>
      </c>
      <c r="P113" s="1" t="s">
        <v>59</v>
      </c>
    </row>
    <row r="114" spans="1:16" x14ac:dyDescent="0.3">
      <c r="A114" s="10" t="s">
        <v>67</v>
      </c>
      <c r="B114" s="8" t="s">
        <v>21</v>
      </c>
      <c r="C114" s="12">
        <f t="shared" si="10"/>
        <v>0.84999999999999987</v>
      </c>
      <c r="D114" s="9"/>
      <c r="E114" s="9"/>
      <c r="F114" s="9">
        <v>0.05</v>
      </c>
      <c r="G114" s="9">
        <v>0.05</v>
      </c>
      <c r="H114" s="9">
        <v>0.05</v>
      </c>
      <c r="I114" s="9">
        <v>0.1</v>
      </c>
      <c r="J114" s="9">
        <v>0.1</v>
      </c>
      <c r="K114" s="9">
        <v>0.1</v>
      </c>
      <c r="L114" s="9">
        <v>0.1</v>
      </c>
      <c r="M114" s="9">
        <v>0.1</v>
      </c>
      <c r="N114" s="9">
        <v>0.1</v>
      </c>
      <c r="O114" s="9">
        <v>0.1</v>
      </c>
      <c r="P114" s="1" t="s">
        <v>59</v>
      </c>
    </row>
    <row r="115" spans="1:16" x14ac:dyDescent="0.3">
      <c r="A115" s="10" t="s">
        <v>67</v>
      </c>
      <c r="B115" s="8" t="s">
        <v>22</v>
      </c>
      <c r="C115" s="28">
        <f t="shared" si="10"/>
        <v>9.2000000000000011</v>
      </c>
      <c r="D115" s="17">
        <v>0.2</v>
      </c>
      <c r="E115" s="17">
        <v>0.2</v>
      </c>
      <c r="F115" s="17">
        <f>0.5+0.3</f>
        <v>0.8</v>
      </c>
      <c r="G115" s="17">
        <v>0.3</v>
      </c>
      <c r="H115" s="17">
        <v>0.3</v>
      </c>
      <c r="I115" s="17">
        <f>0.5+0.8</f>
        <v>1.3</v>
      </c>
      <c r="J115" s="17">
        <v>0.8</v>
      </c>
      <c r="K115" s="17">
        <v>0.8</v>
      </c>
      <c r="L115" s="17">
        <f>0.5+0.8</f>
        <v>1.3</v>
      </c>
      <c r="M115" s="17">
        <v>0.9</v>
      </c>
      <c r="N115" s="17">
        <v>0.9</v>
      </c>
      <c r="O115" s="17">
        <f>0.5+0.9</f>
        <v>1.4</v>
      </c>
      <c r="P115" s="1" t="s">
        <v>59</v>
      </c>
    </row>
    <row r="116" spans="1:16" x14ac:dyDescent="0.3">
      <c r="A116" s="10" t="s">
        <v>67</v>
      </c>
      <c r="B116" s="8" t="s">
        <v>23</v>
      </c>
      <c r="C116" s="28">
        <f t="shared" si="10"/>
        <v>12.150000000000002</v>
      </c>
      <c r="D116" s="9">
        <v>0.3</v>
      </c>
      <c r="E116" s="9">
        <v>0.3</v>
      </c>
      <c r="F116" s="9">
        <v>0.5</v>
      </c>
      <c r="G116" s="9">
        <v>0.5</v>
      </c>
      <c r="H116" s="9">
        <v>0.5</v>
      </c>
      <c r="I116" s="9">
        <v>1.35</v>
      </c>
      <c r="J116" s="9">
        <v>1.35</v>
      </c>
      <c r="K116" s="9">
        <v>1.35</v>
      </c>
      <c r="L116" s="9">
        <v>1.35</v>
      </c>
      <c r="M116" s="9">
        <v>1.55</v>
      </c>
      <c r="N116" s="9">
        <v>1.55</v>
      </c>
      <c r="O116" s="9">
        <v>1.55</v>
      </c>
      <c r="P116" s="1" t="s">
        <v>59</v>
      </c>
    </row>
    <row r="117" spans="1:16" x14ac:dyDescent="0.3">
      <c r="A117" s="10" t="s">
        <v>67</v>
      </c>
      <c r="B117" s="8" t="s">
        <v>24</v>
      </c>
      <c r="C117" s="28">
        <f t="shared" si="10"/>
        <v>12</v>
      </c>
      <c r="D117" s="9">
        <v>1</v>
      </c>
      <c r="E117" s="9">
        <v>1</v>
      </c>
      <c r="F117" s="9">
        <v>1</v>
      </c>
      <c r="G117" s="9">
        <v>1</v>
      </c>
      <c r="H117" s="9">
        <v>1</v>
      </c>
      <c r="I117" s="9">
        <v>1</v>
      </c>
      <c r="J117" s="9">
        <v>1</v>
      </c>
      <c r="K117" s="9">
        <v>1</v>
      </c>
      <c r="L117" s="9">
        <v>1</v>
      </c>
      <c r="M117" s="9">
        <v>1</v>
      </c>
      <c r="N117" s="9">
        <v>1</v>
      </c>
      <c r="O117" s="9">
        <v>1</v>
      </c>
      <c r="P117" s="1" t="s">
        <v>59</v>
      </c>
    </row>
    <row r="118" spans="1:16" x14ac:dyDescent="0.3">
      <c r="A118" s="10" t="s">
        <v>67</v>
      </c>
      <c r="B118" s="8" t="s">
        <v>68</v>
      </c>
      <c r="C118" s="28">
        <f t="shared" si="10"/>
        <v>0</v>
      </c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" t="s">
        <v>59</v>
      </c>
    </row>
    <row r="119" spans="1:16" x14ac:dyDescent="0.3">
      <c r="A119" s="10" t="s">
        <v>67</v>
      </c>
      <c r="B119" s="8" t="s">
        <v>69</v>
      </c>
      <c r="C119" s="28">
        <f t="shared" si="10"/>
        <v>427.39999999999992</v>
      </c>
      <c r="D119" s="17">
        <v>5.2</v>
      </c>
      <c r="E119" s="17">
        <v>5.2</v>
      </c>
      <c r="F119" s="17">
        <v>160.19999999999999</v>
      </c>
      <c r="G119" s="17">
        <v>5.2</v>
      </c>
      <c r="H119" s="17">
        <v>5.2</v>
      </c>
      <c r="I119" s="17">
        <v>60.2</v>
      </c>
      <c r="J119" s="17">
        <v>5.2</v>
      </c>
      <c r="K119" s="17">
        <v>5.2</v>
      </c>
      <c r="L119" s="17">
        <v>80.2</v>
      </c>
      <c r="M119" s="17">
        <v>5.2</v>
      </c>
      <c r="N119" s="17">
        <v>5.2</v>
      </c>
      <c r="O119" s="17">
        <v>85.2</v>
      </c>
      <c r="P119" s="1" t="s">
        <v>59</v>
      </c>
    </row>
    <row r="120" spans="1:16" x14ac:dyDescent="0.3">
      <c r="A120" s="29" t="s">
        <v>67</v>
      </c>
      <c r="B120" s="29" t="s">
        <v>3</v>
      </c>
      <c r="C120" s="20">
        <f t="shared" si="10"/>
        <v>537.29999999999995</v>
      </c>
      <c r="D120" s="20">
        <f t="shared" ref="D120:O120" si="15">SUM(D112:D119)</f>
        <v>8.25</v>
      </c>
      <c r="E120" s="20">
        <f t="shared" si="15"/>
        <v>8.25</v>
      </c>
      <c r="F120" s="20">
        <f t="shared" si="15"/>
        <v>165.7</v>
      </c>
      <c r="G120" s="20">
        <f t="shared" si="15"/>
        <v>10.199999999999999</v>
      </c>
      <c r="H120" s="20">
        <f t="shared" si="15"/>
        <v>10.7</v>
      </c>
      <c r="I120" s="20">
        <f t="shared" si="15"/>
        <v>72.099999999999994</v>
      </c>
      <c r="J120" s="20">
        <f t="shared" si="15"/>
        <v>17.3</v>
      </c>
      <c r="K120" s="20">
        <f t="shared" si="15"/>
        <v>16.8</v>
      </c>
      <c r="L120" s="20">
        <f t="shared" si="15"/>
        <v>92.3</v>
      </c>
      <c r="M120" s="20">
        <f t="shared" si="15"/>
        <v>18.400000000000002</v>
      </c>
      <c r="N120" s="20">
        <f t="shared" si="15"/>
        <v>18.400000000000002</v>
      </c>
      <c r="O120" s="20">
        <f t="shared" si="15"/>
        <v>98.9</v>
      </c>
      <c r="P120" s="1" t="s">
        <v>59</v>
      </c>
    </row>
    <row r="121" spans="1:16" x14ac:dyDescent="0.3">
      <c r="A121" s="10" t="s">
        <v>70</v>
      </c>
      <c r="B121" s="10" t="s">
        <v>49</v>
      </c>
      <c r="C121" s="12">
        <f t="shared" si="10"/>
        <v>6.3999999999999977</v>
      </c>
      <c r="D121" s="30">
        <v>0.53333333333333299</v>
      </c>
      <c r="E121" s="30">
        <v>0.53333333333333299</v>
      </c>
      <c r="F121" s="30">
        <v>0.53333333333333299</v>
      </c>
      <c r="G121" s="30">
        <v>0.53333333333333299</v>
      </c>
      <c r="H121" s="30">
        <v>0.53333333333333299</v>
      </c>
      <c r="I121" s="30">
        <v>0.53333333333333299</v>
      </c>
      <c r="J121" s="30">
        <v>0.53333333333333299</v>
      </c>
      <c r="K121" s="30">
        <v>0.53333333333333299</v>
      </c>
      <c r="L121" s="30">
        <v>0.53333333333333299</v>
      </c>
      <c r="M121" s="30">
        <v>0.53333333333333299</v>
      </c>
      <c r="N121" s="30">
        <v>0.53333333333333299</v>
      </c>
      <c r="O121" s="30">
        <v>0.53333333333333299</v>
      </c>
      <c r="P121" s="1" t="s">
        <v>27</v>
      </c>
    </row>
    <row r="122" spans="1:16" x14ac:dyDescent="0.3">
      <c r="A122" s="10" t="s">
        <v>71</v>
      </c>
      <c r="B122" s="10" t="s">
        <v>49</v>
      </c>
      <c r="C122" s="12">
        <f t="shared" si="10"/>
        <v>14.376999999999962</v>
      </c>
      <c r="D122" s="30">
        <v>1.14933333333333</v>
      </c>
      <c r="E122" s="30">
        <v>1.14933333333333</v>
      </c>
      <c r="F122" s="30">
        <v>1.14933333333333</v>
      </c>
      <c r="G122" s="30">
        <v>1.2143333333333299</v>
      </c>
      <c r="H122" s="30">
        <v>1.2143333333333299</v>
      </c>
      <c r="I122" s="30">
        <v>1.2143333333333299</v>
      </c>
      <c r="J122" s="30">
        <v>1.2143333333333299</v>
      </c>
      <c r="K122" s="30">
        <v>1.2143333333333299</v>
      </c>
      <c r="L122" s="30">
        <v>1.2143333333333299</v>
      </c>
      <c r="M122" s="30">
        <v>1.2143333333333299</v>
      </c>
      <c r="N122" s="30">
        <v>1.2143333333333299</v>
      </c>
      <c r="O122" s="30">
        <v>1.2143333333333299</v>
      </c>
      <c r="P122" s="1" t="s">
        <v>19</v>
      </c>
    </row>
    <row r="123" spans="1:16" x14ac:dyDescent="0.3">
      <c r="A123" s="10" t="s">
        <v>72</v>
      </c>
      <c r="B123" s="10" t="s">
        <v>49</v>
      </c>
      <c r="C123" s="12">
        <f t="shared" si="10"/>
        <v>3.6399999999999952</v>
      </c>
      <c r="D123" s="30">
        <v>0.30333333333333301</v>
      </c>
      <c r="E123" s="30">
        <v>0.30333333333333301</v>
      </c>
      <c r="F123" s="30">
        <v>0.30333333333333301</v>
      </c>
      <c r="G123" s="30">
        <v>0.30333333333333301</v>
      </c>
      <c r="H123" s="30">
        <v>0.30333333333333301</v>
      </c>
      <c r="I123" s="30">
        <v>0.30333333333333301</v>
      </c>
      <c r="J123" s="30">
        <v>0.30333333333333301</v>
      </c>
      <c r="K123" s="30">
        <v>0.30333333333333301</v>
      </c>
      <c r="L123" s="30">
        <v>0.30333333333333301</v>
      </c>
      <c r="M123" s="30">
        <v>0.30333333333333301</v>
      </c>
      <c r="N123" s="30">
        <v>0.30333333333333301</v>
      </c>
      <c r="O123" s="30">
        <v>0.30333333333333301</v>
      </c>
      <c r="P123" s="1" t="s">
        <v>19</v>
      </c>
    </row>
    <row r="124" spans="1:16" x14ac:dyDescent="0.3">
      <c r="A124" s="10" t="s">
        <v>73</v>
      </c>
      <c r="B124" s="10" t="s">
        <v>49</v>
      </c>
      <c r="C124" s="12">
        <f t="shared" si="10"/>
        <v>8.5179999999999954</v>
      </c>
      <c r="D124" s="30">
        <v>0.70433333333333303</v>
      </c>
      <c r="E124" s="30">
        <v>0.70433333333333303</v>
      </c>
      <c r="F124" s="30">
        <v>0.70433333333333303</v>
      </c>
      <c r="G124" s="30">
        <v>0.70433333333333303</v>
      </c>
      <c r="H124" s="30">
        <v>0.70433333333333303</v>
      </c>
      <c r="I124" s="30">
        <v>0.70433333333333303</v>
      </c>
      <c r="J124" s="30">
        <v>0.71533333333333304</v>
      </c>
      <c r="K124" s="30">
        <v>0.71533333333333304</v>
      </c>
      <c r="L124" s="30">
        <v>0.71533333333333304</v>
      </c>
      <c r="M124" s="30">
        <v>0.71533333333333304</v>
      </c>
      <c r="N124" s="30">
        <v>0.71533333333333304</v>
      </c>
      <c r="O124" s="30">
        <v>0.71533333333333304</v>
      </c>
      <c r="P124" s="1" t="s">
        <v>19</v>
      </c>
    </row>
    <row r="125" spans="1:16" x14ac:dyDescent="0.3">
      <c r="A125" s="10" t="s">
        <v>48</v>
      </c>
      <c r="B125" s="10" t="s">
        <v>49</v>
      </c>
      <c r="C125" s="12">
        <f t="shared" si="10"/>
        <v>4.9599999999999964</v>
      </c>
      <c r="D125" s="30">
        <v>0.413333333333333</v>
      </c>
      <c r="E125" s="30">
        <v>0.413333333333333</v>
      </c>
      <c r="F125" s="30">
        <v>0.413333333333333</v>
      </c>
      <c r="G125" s="30">
        <v>0.413333333333333</v>
      </c>
      <c r="H125" s="30">
        <v>0.413333333333333</v>
      </c>
      <c r="I125" s="30">
        <v>0.413333333333333</v>
      </c>
      <c r="J125" s="30">
        <v>0.413333333333333</v>
      </c>
      <c r="K125" s="30">
        <v>0.413333333333333</v>
      </c>
      <c r="L125" s="30">
        <v>0.413333333333333</v>
      </c>
      <c r="M125" s="30">
        <v>0.413333333333333</v>
      </c>
      <c r="N125" s="30">
        <v>0.413333333333333</v>
      </c>
      <c r="O125" s="30">
        <v>0.413333333333333</v>
      </c>
      <c r="P125" s="1" t="s">
        <v>27</v>
      </c>
    </row>
    <row r="126" spans="1:16" x14ac:dyDescent="0.3">
      <c r="A126" s="10" t="s">
        <v>38</v>
      </c>
      <c r="B126" s="10" t="s">
        <v>49</v>
      </c>
      <c r="C126" s="12">
        <f t="shared" si="10"/>
        <v>9.3749999999999876</v>
      </c>
      <c r="D126" s="30">
        <v>0.483333333333333</v>
      </c>
      <c r="E126" s="30">
        <v>0.483333333333333</v>
      </c>
      <c r="F126" s="30">
        <v>0.54833333333333301</v>
      </c>
      <c r="G126" s="30">
        <v>0.54833333333333301</v>
      </c>
      <c r="H126" s="30">
        <v>0.54833333333333301</v>
      </c>
      <c r="I126" s="30">
        <v>0.93833333333333302</v>
      </c>
      <c r="J126" s="30">
        <v>0.93833333333333302</v>
      </c>
      <c r="K126" s="30">
        <v>0.93833333333333302</v>
      </c>
      <c r="L126" s="30">
        <v>0.93833333333333302</v>
      </c>
      <c r="M126" s="30">
        <v>1.0033333333333301</v>
      </c>
      <c r="N126" s="30">
        <v>1.0033333333333301</v>
      </c>
      <c r="O126" s="30">
        <v>1.0033333333333301</v>
      </c>
      <c r="P126" s="1" t="s">
        <v>27</v>
      </c>
    </row>
    <row r="127" spans="1:16" x14ac:dyDescent="0.3">
      <c r="A127" s="10" t="s">
        <v>74</v>
      </c>
      <c r="B127" s="10" t="s">
        <v>49</v>
      </c>
      <c r="C127" s="12">
        <f t="shared" si="10"/>
        <v>17.331999999999962</v>
      </c>
      <c r="D127" s="30">
        <v>1.05433333333333</v>
      </c>
      <c r="E127" s="30">
        <v>1.05433333333333</v>
      </c>
      <c r="F127" s="30">
        <v>1.05433333333333</v>
      </c>
      <c r="G127" s="30">
        <v>1.05433333333333</v>
      </c>
      <c r="H127" s="30">
        <v>1.05433333333333</v>
      </c>
      <c r="I127" s="30">
        <v>1.4443333333333299</v>
      </c>
      <c r="J127" s="30">
        <v>1.4443333333333299</v>
      </c>
      <c r="K127" s="30">
        <v>1.5093333333333301</v>
      </c>
      <c r="L127" s="30">
        <v>1.83433333333333</v>
      </c>
      <c r="M127" s="30">
        <v>1.89933333333333</v>
      </c>
      <c r="N127" s="30">
        <v>1.9643333333333299</v>
      </c>
      <c r="O127" s="30">
        <v>1.9643333333333299</v>
      </c>
      <c r="P127" s="1" t="s">
        <v>27</v>
      </c>
    </row>
    <row r="128" spans="1:16" x14ac:dyDescent="0.3">
      <c r="A128" s="10" t="s">
        <v>75</v>
      </c>
      <c r="B128" s="10" t="s">
        <v>49</v>
      </c>
      <c r="C128" s="12">
        <f t="shared" si="10"/>
        <v>24.324000000000037</v>
      </c>
      <c r="D128" s="30">
        <v>1.8536666666666699</v>
      </c>
      <c r="E128" s="30">
        <v>1.98366666666667</v>
      </c>
      <c r="F128" s="30">
        <v>2.0486666666666702</v>
      </c>
      <c r="G128" s="30">
        <v>2.0486666666666702</v>
      </c>
      <c r="H128" s="30">
        <v>2.0486666666666702</v>
      </c>
      <c r="I128" s="30">
        <v>2.0486666666666702</v>
      </c>
      <c r="J128" s="30">
        <v>2.0486666666666702</v>
      </c>
      <c r="K128" s="30">
        <v>2.0486666666666702</v>
      </c>
      <c r="L128" s="30">
        <v>2.0486666666666702</v>
      </c>
      <c r="M128" s="30">
        <v>2.0486666666666702</v>
      </c>
      <c r="N128" s="30">
        <v>2.0486666666666702</v>
      </c>
      <c r="O128" s="30">
        <v>2.0486666666666702</v>
      </c>
      <c r="P128" s="1" t="s">
        <v>27</v>
      </c>
    </row>
    <row r="129" spans="1:16" x14ac:dyDescent="0.3">
      <c r="A129" s="10" t="s">
        <v>67</v>
      </c>
      <c r="B129" s="10" t="s">
        <v>49</v>
      </c>
      <c r="C129" s="12">
        <f t="shared" si="10"/>
        <v>7.6400000000000032</v>
      </c>
      <c r="D129" s="30">
        <v>0.63666666666666705</v>
      </c>
      <c r="E129" s="30">
        <v>0.63666666666666705</v>
      </c>
      <c r="F129" s="30">
        <v>0.63666666666666705</v>
      </c>
      <c r="G129" s="30">
        <v>0.63666666666666705</v>
      </c>
      <c r="H129" s="30">
        <v>0.63666666666666705</v>
      </c>
      <c r="I129" s="30">
        <v>0.63666666666666705</v>
      </c>
      <c r="J129" s="30">
        <v>0.63666666666666705</v>
      </c>
      <c r="K129" s="30">
        <v>0.63666666666666705</v>
      </c>
      <c r="L129" s="30">
        <v>0.63666666666666705</v>
      </c>
      <c r="M129" s="30">
        <v>0.63666666666666705</v>
      </c>
      <c r="N129" s="30">
        <v>0.63666666666666705</v>
      </c>
      <c r="O129" s="30">
        <v>0.63666666666666705</v>
      </c>
      <c r="P129" s="1" t="s">
        <v>59</v>
      </c>
    </row>
    <row r="130" spans="1:16" x14ac:dyDescent="0.3">
      <c r="A130" s="10" t="s">
        <v>58</v>
      </c>
      <c r="B130" s="10" t="s">
        <v>49</v>
      </c>
      <c r="C130" s="12">
        <f t="shared" si="10"/>
        <v>5.5169999999999941</v>
      </c>
      <c r="D130" s="30">
        <v>0.36233333333333301</v>
      </c>
      <c r="E130" s="30">
        <v>0.36233333333333301</v>
      </c>
      <c r="F130" s="30">
        <v>0.43833333333333302</v>
      </c>
      <c r="G130" s="30">
        <v>0.43833333333333302</v>
      </c>
      <c r="H130" s="30">
        <v>0.43833333333333302</v>
      </c>
      <c r="I130" s="30">
        <v>0.64533333333333298</v>
      </c>
      <c r="J130" s="30">
        <v>0.64533333333333298</v>
      </c>
      <c r="K130" s="30">
        <v>0.64533333333333298</v>
      </c>
      <c r="L130" s="30">
        <v>0.38533333333333297</v>
      </c>
      <c r="M130" s="30">
        <v>0.38533333333333297</v>
      </c>
      <c r="N130" s="30">
        <v>0.38533333333333297</v>
      </c>
      <c r="O130" s="30">
        <v>0.38533333333333297</v>
      </c>
      <c r="P130" s="1" t="s">
        <v>59</v>
      </c>
    </row>
    <row r="131" spans="1:16" x14ac:dyDescent="0.3">
      <c r="A131" s="10" t="s">
        <v>26</v>
      </c>
      <c r="B131" s="10" t="s">
        <v>49</v>
      </c>
      <c r="C131" s="12">
        <f t="shared" si="10"/>
        <v>5.2400000000000038</v>
      </c>
      <c r="D131" s="30">
        <v>0.43666666666666698</v>
      </c>
      <c r="E131" s="30">
        <v>0.43666666666666698</v>
      </c>
      <c r="F131" s="30">
        <v>0.43666666666666698</v>
      </c>
      <c r="G131" s="30">
        <v>0.43666666666666698</v>
      </c>
      <c r="H131" s="30">
        <v>0.43666666666666698</v>
      </c>
      <c r="I131" s="30">
        <v>0.43666666666666698</v>
      </c>
      <c r="J131" s="30">
        <v>0.43666666666666698</v>
      </c>
      <c r="K131" s="30">
        <v>0.43666666666666698</v>
      </c>
      <c r="L131" s="30">
        <v>0.43666666666666698</v>
      </c>
      <c r="M131" s="30">
        <v>0.43666666666666698</v>
      </c>
      <c r="N131" s="30">
        <v>0.43666666666666698</v>
      </c>
      <c r="O131" s="30">
        <v>0.43666666666666698</v>
      </c>
      <c r="P131" s="1" t="s">
        <v>27</v>
      </c>
    </row>
    <row r="132" spans="1:16" x14ac:dyDescent="0.3">
      <c r="A132" s="10" t="s">
        <v>24</v>
      </c>
      <c r="B132" s="10" t="s">
        <v>49</v>
      </c>
      <c r="C132" s="12">
        <f t="shared" si="10"/>
        <v>66</v>
      </c>
      <c r="D132" s="30">
        <v>0</v>
      </c>
      <c r="E132" s="30">
        <v>0</v>
      </c>
      <c r="F132" s="30">
        <v>0</v>
      </c>
      <c r="G132" s="30">
        <v>0</v>
      </c>
      <c r="H132" s="30">
        <v>0</v>
      </c>
      <c r="I132" s="30">
        <v>0</v>
      </c>
      <c r="J132" s="30">
        <v>0</v>
      </c>
      <c r="K132" s="30">
        <v>0</v>
      </c>
      <c r="L132" s="30">
        <v>0</v>
      </c>
      <c r="M132" s="30">
        <v>0</v>
      </c>
      <c r="N132" s="30">
        <v>0</v>
      </c>
      <c r="O132" s="30">
        <v>66</v>
      </c>
      <c r="P132" s="1" t="s">
        <v>27</v>
      </c>
    </row>
    <row r="133" spans="1:16" x14ac:dyDescent="0.3">
      <c r="A133" s="14" t="s">
        <v>49</v>
      </c>
      <c r="B133" s="14" t="s">
        <v>3</v>
      </c>
      <c r="C133" s="15">
        <f>SUM(C121:C132)</f>
        <v>173.32299999999992</v>
      </c>
      <c r="D133" s="15">
        <f>SUM(D121:D132)</f>
        <v>7.9306666666666619</v>
      </c>
      <c r="E133" s="15">
        <f t="shared" ref="E133:O133" si="16">SUM(E121:E132)</f>
        <v>8.0606666666666609</v>
      </c>
      <c r="F133" s="15">
        <f t="shared" si="16"/>
        <v>8.2666666666666622</v>
      </c>
      <c r="G133" s="15">
        <f t="shared" si="16"/>
        <v>8.3316666666666617</v>
      </c>
      <c r="H133" s="15">
        <f t="shared" si="16"/>
        <v>8.3316666666666617</v>
      </c>
      <c r="I133" s="15">
        <f t="shared" si="16"/>
        <v>9.3186666666666635</v>
      </c>
      <c r="J133" s="15">
        <f t="shared" si="16"/>
        <v>9.3296666666666628</v>
      </c>
      <c r="K133" s="15">
        <f t="shared" si="16"/>
        <v>9.3946666666666641</v>
      </c>
      <c r="L133" s="15">
        <f t="shared" si="16"/>
        <v>9.4596666666666618</v>
      </c>
      <c r="M133" s="15">
        <f t="shared" si="16"/>
        <v>9.5896666666666608</v>
      </c>
      <c r="N133" s="15">
        <f t="shared" si="16"/>
        <v>9.6546666666666585</v>
      </c>
      <c r="O133" s="15">
        <f t="shared" si="16"/>
        <v>75.654666666666657</v>
      </c>
      <c r="P133" s="10"/>
    </row>
    <row r="134" spans="1:16" x14ac:dyDescent="0.3">
      <c r="A134" s="10" t="s">
        <v>70</v>
      </c>
      <c r="B134" s="10" t="s">
        <v>76</v>
      </c>
      <c r="C134" s="12">
        <f t="shared" si="10"/>
        <v>63.148091999999998</v>
      </c>
      <c r="D134" s="30">
        <v>4.6466000000000003</v>
      </c>
      <c r="E134" s="30">
        <v>4.6466000000000003</v>
      </c>
      <c r="F134" s="30">
        <v>4.6466000000000003</v>
      </c>
      <c r="G134" s="30">
        <v>4.6466000000000003</v>
      </c>
      <c r="H134" s="30">
        <v>4.6466000000000003</v>
      </c>
      <c r="I134" s="30">
        <v>4.6466000000000003</v>
      </c>
      <c r="J134" s="30">
        <v>5.878082</v>
      </c>
      <c r="K134" s="30">
        <v>5.878082</v>
      </c>
      <c r="L134" s="30">
        <v>5.878082</v>
      </c>
      <c r="M134" s="30">
        <v>5.878082</v>
      </c>
      <c r="N134" s="30">
        <v>5.878082</v>
      </c>
      <c r="O134" s="30">
        <v>5.878082</v>
      </c>
      <c r="P134" s="10" t="s">
        <v>27</v>
      </c>
    </row>
    <row r="135" spans="1:16" x14ac:dyDescent="0.3">
      <c r="A135" s="10" t="s">
        <v>71</v>
      </c>
      <c r="B135" s="10" t="s">
        <v>76</v>
      </c>
      <c r="C135" s="12">
        <f t="shared" si="10"/>
        <v>425.30168595800001</v>
      </c>
      <c r="D135" s="30">
        <v>25.215477100000001</v>
      </c>
      <c r="E135" s="30">
        <v>25.215477100000001</v>
      </c>
      <c r="F135" s="30">
        <v>27.210927099999999</v>
      </c>
      <c r="G135" s="30">
        <v>27.060927100000001</v>
      </c>
      <c r="H135" s="30">
        <v>27.060927100000001</v>
      </c>
      <c r="I135" s="30">
        <v>42.0830871</v>
      </c>
      <c r="J135" s="30">
        <v>40.359143893000002</v>
      </c>
      <c r="K135" s="30">
        <v>40.359143893000002</v>
      </c>
      <c r="L135" s="30">
        <v>45.009143893000001</v>
      </c>
      <c r="M135" s="30">
        <v>40.359143893000002</v>
      </c>
      <c r="N135" s="30">
        <v>40.359143893000002</v>
      </c>
      <c r="O135" s="30">
        <v>45.009143893000001</v>
      </c>
      <c r="P135" s="10" t="s">
        <v>19</v>
      </c>
    </row>
    <row r="136" spans="1:16" x14ac:dyDescent="0.3">
      <c r="A136" s="10" t="s">
        <v>72</v>
      </c>
      <c r="B136" s="10" t="s">
        <v>76</v>
      </c>
      <c r="C136" s="12">
        <f t="shared" si="10"/>
        <v>158.10610163999999</v>
      </c>
      <c r="D136" s="30">
        <v>13.171709</v>
      </c>
      <c r="E136" s="30">
        <v>13.171709</v>
      </c>
      <c r="F136" s="30">
        <v>13.171709</v>
      </c>
      <c r="G136" s="30">
        <v>13.171709</v>
      </c>
      <c r="H136" s="30">
        <v>13.171709</v>
      </c>
      <c r="I136" s="30">
        <v>13.171709</v>
      </c>
      <c r="J136" s="30">
        <v>13.179307939999999</v>
      </c>
      <c r="K136" s="30">
        <v>13.179307939999999</v>
      </c>
      <c r="L136" s="30">
        <v>13.179307939999999</v>
      </c>
      <c r="M136" s="30">
        <v>13.179307939999999</v>
      </c>
      <c r="N136" s="30">
        <v>13.179307939999999</v>
      </c>
      <c r="O136" s="30">
        <v>13.179307939999999</v>
      </c>
      <c r="P136" s="10" t="s">
        <v>19</v>
      </c>
    </row>
    <row r="137" spans="1:16" x14ac:dyDescent="0.3">
      <c r="A137" s="10" t="s">
        <v>73</v>
      </c>
      <c r="B137" s="10" t="s">
        <v>76</v>
      </c>
      <c r="C137" s="12">
        <f t="shared" si="10"/>
        <v>141.2983410516</v>
      </c>
      <c r="D137" s="30">
        <v>11.61560476</v>
      </c>
      <c r="E137" s="30">
        <v>11.61560476</v>
      </c>
      <c r="F137" s="30">
        <v>12.020604759999999</v>
      </c>
      <c r="G137" s="30">
        <v>11.61560476</v>
      </c>
      <c r="H137" s="30">
        <v>11.61560476</v>
      </c>
      <c r="I137" s="30">
        <v>12.020604759999999</v>
      </c>
      <c r="J137" s="30">
        <v>11.6641187486</v>
      </c>
      <c r="K137" s="30">
        <v>11.6641187486</v>
      </c>
      <c r="L137" s="30">
        <v>12.069118748599999</v>
      </c>
      <c r="M137" s="30">
        <v>11.6641187486</v>
      </c>
      <c r="N137" s="30">
        <v>11.6641187486</v>
      </c>
      <c r="O137" s="30">
        <v>12.069118748599999</v>
      </c>
      <c r="P137" s="10" t="s">
        <v>19</v>
      </c>
    </row>
    <row r="138" spans="1:16" x14ac:dyDescent="0.3">
      <c r="A138" s="10" t="s">
        <v>48</v>
      </c>
      <c r="B138" s="10" t="s">
        <v>76</v>
      </c>
      <c r="C138" s="12">
        <f t="shared" si="10"/>
        <v>88.609823842799983</v>
      </c>
      <c r="D138" s="30">
        <v>6.4845001499999997</v>
      </c>
      <c r="E138" s="30">
        <v>6.4845001499999997</v>
      </c>
      <c r="F138" s="30">
        <v>6.7885501499999998</v>
      </c>
      <c r="G138" s="30">
        <v>7.42758159</v>
      </c>
      <c r="H138" s="30">
        <v>7.42758159</v>
      </c>
      <c r="I138" s="30">
        <v>7.9416315900000001</v>
      </c>
      <c r="J138" s="30">
        <v>7.5045631037999998</v>
      </c>
      <c r="K138" s="30">
        <v>7.5045631037999998</v>
      </c>
      <c r="L138" s="30">
        <v>8.0186131037999999</v>
      </c>
      <c r="M138" s="30">
        <v>7.5045631037999998</v>
      </c>
      <c r="N138" s="30">
        <v>7.5045631037999998</v>
      </c>
      <c r="O138" s="30">
        <v>8.0186131037999999</v>
      </c>
      <c r="P138" s="10" t="s">
        <v>27</v>
      </c>
    </row>
    <row r="139" spans="1:16" x14ac:dyDescent="0.3">
      <c r="A139" s="10" t="s">
        <v>38</v>
      </c>
      <c r="B139" s="10" t="s">
        <v>76</v>
      </c>
      <c r="C139" s="12">
        <f t="shared" si="10"/>
        <v>103.87608506400002</v>
      </c>
      <c r="D139" s="30">
        <v>8.6267578</v>
      </c>
      <c r="E139" s="30">
        <v>8.6267578</v>
      </c>
      <c r="F139" s="30">
        <v>8.6267578</v>
      </c>
      <c r="G139" s="30">
        <v>8.6267578</v>
      </c>
      <c r="H139" s="30">
        <v>8.6267578</v>
      </c>
      <c r="I139" s="30">
        <v>8.6267578</v>
      </c>
      <c r="J139" s="30">
        <v>8.6859230440000008</v>
      </c>
      <c r="K139" s="30">
        <v>8.6859230440000008</v>
      </c>
      <c r="L139" s="30">
        <v>8.6859230440000008</v>
      </c>
      <c r="M139" s="30">
        <v>8.6859230440000008</v>
      </c>
      <c r="N139" s="30">
        <v>8.6859230440000008</v>
      </c>
      <c r="O139" s="30">
        <v>8.6859230440000008</v>
      </c>
      <c r="P139" s="10" t="s">
        <v>27</v>
      </c>
    </row>
    <row r="140" spans="1:16" x14ac:dyDescent="0.3">
      <c r="A140" s="10" t="s">
        <v>74</v>
      </c>
      <c r="B140" s="10" t="s">
        <v>76</v>
      </c>
      <c r="C140" s="12">
        <f t="shared" si="10"/>
        <v>46.237181146800012</v>
      </c>
      <c r="D140" s="30">
        <v>3.8373032600000001</v>
      </c>
      <c r="E140" s="30">
        <v>3.8373032600000001</v>
      </c>
      <c r="F140" s="30">
        <v>3.8373032600000001</v>
      </c>
      <c r="G140" s="30">
        <v>3.8373032600000001</v>
      </c>
      <c r="H140" s="30">
        <v>3.8373032600000001</v>
      </c>
      <c r="I140" s="30">
        <v>3.8373032600000001</v>
      </c>
      <c r="J140" s="30">
        <v>3.8688935978000001</v>
      </c>
      <c r="K140" s="30">
        <v>3.8688935978000001</v>
      </c>
      <c r="L140" s="30">
        <v>3.8688935978000001</v>
      </c>
      <c r="M140" s="30">
        <v>3.8688935978000001</v>
      </c>
      <c r="N140" s="30">
        <v>3.8688935978000001</v>
      </c>
      <c r="O140" s="30">
        <v>3.8688935978000001</v>
      </c>
      <c r="P140" s="10" t="s">
        <v>27</v>
      </c>
    </row>
    <row r="141" spans="1:16" x14ac:dyDescent="0.3">
      <c r="A141" s="10" t="s">
        <v>75</v>
      </c>
      <c r="B141" s="10" t="s">
        <v>76</v>
      </c>
      <c r="C141" s="12">
        <f t="shared" si="10"/>
        <v>148.55999999999997</v>
      </c>
      <c r="D141" s="30">
        <v>11.88</v>
      </c>
      <c r="E141" s="30">
        <v>11.88</v>
      </c>
      <c r="F141" s="30">
        <v>13.38</v>
      </c>
      <c r="G141" s="30">
        <v>11.88</v>
      </c>
      <c r="H141" s="30">
        <v>11.88</v>
      </c>
      <c r="I141" s="30">
        <v>13.38</v>
      </c>
      <c r="J141" s="30">
        <v>11.88</v>
      </c>
      <c r="K141" s="30">
        <v>11.88</v>
      </c>
      <c r="L141" s="30">
        <v>13.38</v>
      </c>
      <c r="M141" s="30">
        <v>11.88</v>
      </c>
      <c r="N141" s="30">
        <v>11.88</v>
      </c>
      <c r="O141" s="30">
        <v>13.38</v>
      </c>
      <c r="P141" s="10" t="s">
        <v>27</v>
      </c>
    </row>
    <row r="142" spans="1:16" x14ac:dyDescent="0.3">
      <c r="A142" s="10" t="s">
        <v>67</v>
      </c>
      <c r="B142" s="10" t="s">
        <v>76</v>
      </c>
      <c r="C142" s="12">
        <f t="shared" si="10"/>
        <v>412.69381905240004</v>
      </c>
      <c r="D142" s="30">
        <v>15.837752180000001</v>
      </c>
      <c r="E142" s="30">
        <v>15.837752180000001</v>
      </c>
      <c r="F142" s="30">
        <v>24.298082180000002</v>
      </c>
      <c r="G142" s="30">
        <v>19.348082179999999</v>
      </c>
      <c r="H142" s="30">
        <v>19.348082179999999</v>
      </c>
      <c r="I142" s="30">
        <v>46.979897180000002</v>
      </c>
      <c r="J142" s="30">
        <v>38.768863495399998</v>
      </c>
      <c r="K142" s="30">
        <v>38.768863495399998</v>
      </c>
      <c r="L142" s="30">
        <v>52.043863495399997</v>
      </c>
      <c r="M142" s="30">
        <v>42.279193495400001</v>
      </c>
      <c r="N142" s="30">
        <v>42.279193495400001</v>
      </c>
      <c r="O142" s="30">
        <v>56.904193495400001</v>
      </c>
      <c r="P142" s="10" t="s">
        <v>59</v>
      </c>
    </row>
    <row r="143" spans="1:16" x14ac:dyDescent="0.3">
      <c r="A143" s="10" t="s">
        <v>58</v>
      </c>
      <c r="B143" s="10" t="s">
        <v>76</v>
      </c>
      <c r="C143" s="12">
        <f t="shared" ref="C143:C144" si="17">SUM(D143:O143)</f>
        <v>158.47459820400002</v>
      </c>
      <c r="D143" s="30">
        <v>7.9315217999999996</v>
      </c>
      <c r="E143" s="30">
        <v>7.9315217999999996</v>
      </c>
      <c r="F143" s="30">
        <v>15.931521800000001</v>
      </c>
      <c r="G143" s="30">
        <v>7.9315217999999996</v>
      </c>
      <c r="H143" s="30">
        <v>7.9315217999999996</v>
      </c>
      <c r="I143" s="30">
        <v>16.942936573333299</v>
      </c>
      <c r="J143" s="30">
        <v>8.6607076339999995</v>
      </c>
      <c r="K143" s="30">
        <v>9.3387890739999992</v>
      </c>
      <c r="L143" s="30">
        <v>20.016870514000001</v>
      </c>
      <c r="M143" s="30">
        <v>10.694951954</v>
      </c>
      <c r="N143" s="30">
        <v>11.373033394</v>
      </c>
      <c r="O143" s="30">
        <v>33.789700060666704</v>
      </c>
      <c r="P143" s="10" t="s">
        <v>59</v>
      </c>
    </row>
    <row r="144" spans="1:16" x14ac:dyDescent="0.3">
      <c r="A144" s="10" t="s">
        <v>26</v>
      </c>
      <c r="B144" s="10" t="s">
        <v>76</v>
      </c>
      <c r="C144" s="12">
        <f t="shared" si="17"/>
        <v>490.32200287354527</v>
      </c>
      <c r="D144" s="30">
        <v>33.5522555158621</v>
      </c>
      <c r="E144" s="30">
        <v>38.232695515862098</v>
      </c>
      <c r="F144" s="30">
        <v>43.464999515862097</v>
      </c>
      <c r="G144" s="30">
        <v>40.214999515862097</v>
      </c>
      <c r="H144" s="30">
        <v>40.214999515862097</v>
      </c>
      <c r="I144" s="30">
        <v>44.384999515862098</v>
      </c>
      <c r="J144" s="30">
        <v>40.319508963062098</v>
      </c>
      <c r="K144" s="30">
        <v>40.319508963062098</v>
      </c>
      <c r="L144" s="30">
        <v>44.4895089630621</v>
      </c>
      <c r="M144" s="30">
        <v>40.319508963062098</v>
      </c>
      <c r="N144" s="30">
        <v>40.319508963062098</v>
      </c>
      <c r="O144" s="30">
        <v>44.4895089630621</v>
      </c>
      <c r="P144" s="10" t="s">
        <v>27</v>
      </c>
    </row>
    <row r="145" spans="1:16" x14ac:dyDescent="0.3">
      <c r="A145" s="14" t="s">
        <v>76</v>
      </c>
      <c r="B145" s="14" t="s">
        <v>3</v>
      </c>
      <c r="C145" s="15">
        <f t="shared" ref="C145:O145" si="18">SUM(C134:C144)</f>
        <v>2236.6277308331455</v>
      </c>
      <c r="D145" s="15">
        <f t="shared" si="18"/>
        <v>142.7994815658621</v>
      </c>
      <c r="E145" s="15">
        <f t="shared" si="18"/>
        <v>147.47992156586207</v>
      </c>
      <c r="F145" s="15">
        <f t="shared" si="18"/>
        <v>173.37705556586209</v>
      </c>
      <c r="G145" s="15">
        <f t="shared" si="18"/>
        <v>155.76108700586209</v>
      </c>
      <c r="H145" s="15">
        <f t="shared" si="18"/>
        <v>155.76108700586209</v>
      </c>
      <c r="I145" s="15">
        <f t="shared" si="18"/>
        <v>214.01552677919537</v>
      </c>
      <c r="J145" s="15">
        <f t="shared" si="18"/>
        <v>190.76911241966212</v>
      </c>
      <c r="K145" s="15">
        <f t="shared" si="18"/>
        <v>191.44719385966212</v>
      </c>
      <c r="L145" s="15">
        <f t="shared" si="18"/>
        <v>226.63932529966209</v>
      </c>
      <c r="M145" s="15">
        <f t="shared" si="18"/>
        <v>196.3136867396621</v>
      </c>
      <c r="N145" s="15">
        <f t="shared" si="18"/>
        <v>196.9917681796621</v>
      </c>
      <c r="O145" s="15">
        <f t="shared" si="18"/>
        <v>245.27248484632881</v>
      </c>
      <c r="P145" s="10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张堂洲</dc:creator>
  <cp:lastModifiedBy>xin liu</cp:lastModifiedBy>
  <dcterms:created xsi:type="dcterms:W3CDTF">2015-06-05T18:19:34Z</dcterms:created>
  <dcterms:modified xsi:type="dcterms:W3CDTF">2026-05-29T02:04:07Z</dcterms:modified>
</cp:coreProperties>
</file>
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ener\Desktop\"/>
    </mc:Choice>
  </mc:AlternateContent>
  <xr:revisionPtr revIDLastSave="0" documentId="13_ncr:1_{6A68C402-82FC-4B3B-92A4-A673846C16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0" i="1" l="1"/>
  <c r="N80" i="1"/>
  <c r="M80" i="1"/>
  <c r="L80" i="1"/>
  <c r="K80" i="1"/>
  <c r="J80" i="1"/>
  <c r="I80" i="1"/>
  <c r="H80" i="1"/>
  <c r="G80" i="1"/>
  <c r="F80" i="1"/>
  <c r="E80" i="1"/>
  <c r="D80" i="1"/>
  <c r="C79" i="1"/>
  <c r="C78" i="1"/>
  <c r="C77" i="1"/>
  <c r="C76" i="1"/>
  <c r="C75" i="1"/>
  <c r="C74" i="1"/>
  <c r="C73" i="1"/>
  <c r="C72" i="1"/>
  <c r="C71" i="1"/>
  <c r="O70" i="1"/>
  <c r="N70" i="1"/>
  <c r="M70" i="1"/>
  <c r="L70" i="1"/>
  <c r="K70" i="1"/>
  <c r="J70" i="1"/>
  <c r="I70" i="1"/>
  <c r="H70" i="1"/>
  <c r="G70" i="1"/>
  <c r="F70" i="1"/>
  <c r="E70" i="1"/>
  <c r="D70" i="1"/>
  <c r="C69" i="1"/>
  <c r="C68" i="1"/>
  <c r="C67" i="1"/>
  <c r="C66" i="1"/>
  <c r="C65" i="1"/>
  <c r="O64" i="1"/>
  <c r="N64" i="1"/>
  <c r="M64" i="1"/>
  <c r="L64" i="1"/>
  <c r="K64" i="1"/>
  <c r="J64" i="1"/>
  <c r="I64" i="1"/>
  <c r="H64" i="1"/>
  <c r="G64" i="1"/>
  <c r="F64" i="1"/>
  <c r="E64" i="1"/>
  <c r="D64" i="1"/>
  <c r="C63" i="1"/>
  <c r="C62" i="1"/>
  <c r="C61" i="1"/>
  <c r="C60" i="1"/>
  <c r="C64" i="1" s="1"/>
  <c r="O59" i="1"/>
  <c r="N59" i="1"/>
  <c r="M59" i="1"/>
  <c r="L59" i="1"/>
  <c r="K59" i="1"/>
  <c r="J59" i="1"/>
  <c r="I59" i="1"/>
  <c r="H59" i="1"/>
  <c r="G59" i="1"/>
  <c r="F59" i="1"/>
  <c r="E59" i="1"/>
  <c r="D59" i="1"/>
  <c r="C58" i="1"/>
  <c r="C57" i="1"/>
  <c r="C56" i="1"/>
  <c r="C59" i="1" s="1"/>
  <c r="O55" i="1"/>
  <c r="N55" i="1"/>
  <c r="M55" i="1"/>
  <c r="L55" i="1"/>
  <c r="K55" i="1"/>
  <c r="J55" i="1"/>
  <c r="I55" i="1"/>
  <c r="H55" i="1"/>
  <c r="G55" i="1"/>
  <c r="F55" i="1"/>
  <c r="E55" i="1"/>
  <c r="D55" i="1"/>
  <c r="C54" i="1"/>
  <c r="C53" i="1"/>
  <c r="C52" i="1"/>
  <c r="C51" i="1"/>
  <c r="C50" i="1"/>
  <c r="C49" i="1"/>
  <c r="C48" i="1"/>
  <c r="C47" i="1"/>
  <c r="O46" i="1"/>
  <c r="N46" i="1"/>
  <c r="M46" i="1"/>
  <c r="L46" i="1"/>
  <c r="K46" i="1"/>
  <c r="J46" i="1"/>
  <c r="I46" i="1"/>
  <c r="H46" i="1"/>
  <c r="G46" i="1"/>
  <c r="F46" i="1"/>
  <c r="E46" i="1"/>
  <c r="D46" i="1"/>
  <c r="C45" i="1"/>
  <c r="C44" i="1"/>
  <c r="C43" i="1"/>
  <c r="C42" i="1"/>
  <c r="C41" i="1"/>
  <c r="O40" i="1"/>
  <c r="N40" i="1"/>
  <c r="M40" i="1"/>
  <c r="L40" i="1"/>
  <c r="K40" i="1"/>
  <c r="J40" i="1"/>
  <c r="I40" i="1"/>
  <c r="H40" i="1"/>
  <c r="G40" i="1"/>
  <c r="F40" i="1"/>
  <c r="E40" i="1"/>
  <c r="D40" i="1"/>
  <c r="C39" i="1"/>
  <c r="C38" i="1"/>
  <c r="C37" i="1"/>
  <c r="C36" i="1"/>
  <c r="C35" i="1"/>
  <c r="C34" i="1"/>
  <c r="C33" i="1"/>
  <c r="C32" i="1"/>
  <c r="C31" i="1"/>
  <c r="C30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 s="1"/>
  <c r="C28" i="1"/>
  <c r="C27" i="1"/>
  <c r="C26" i="1"/>
  <c r="C25" i="1"/>
  <c r="C24" i="1"/>
  <c r="C23" i="1"/>
  <c r="C22" i="1"/>
  <c r="O21" i="1"/>
  <c r="N21" i="1"/>
  <c r="M21" i="1"/>
  <c r="L21" i="1"/>
  <c r="K21" i="1"/>
  <c r="J21" i="1"/>
  <c r="I21" i="1"/>
  <c r="H21" i="1"/>
  <c r="G21" i="1"/>
  <c r="F21" i="1"/>
  <c r="E21" i="1"/>
  <c r="D21" i="1"/>
  <c r="C20" i="1"/>
  <c r="C19" i="1"/>
  <c r="C18" i="1"/>
  <c r="C17" i="1"/>
  <c r="C16" i="1"/>
  <c r="C15" i="1"/>
  <c r="C14" i="1"/>
  <c r="O13" i="1"/>
  <c r="N13" i="1"/>
  <c r="M13" i="1"/>
  <c r="L13" i="1"/>
  <c r="K13" i="1"/>
  <c r="J13" i="1"/>
  <c r="I13" i="1"/>
  <c r="H13" i="1"/>
  <c r="G13" i="1"/>
  <c r="F13" i="1"/>
  <c r="E13" i="1"/>
  <c r="D13" i="1"/>
  <c r="C12" i="1"/>
  <c r="C11" i="1"/>
  <c r="C10" i="1"/>
  <c r="C9" i="1"/>
  <c r="C8" i="1"/>
  <c r="O7" i="1"/>
  <c r="N7" i="1"/>
  <c r="M7" i="1"/>
  <c r="L7" i="1"/>
  <c r="K7" i="1"/>
  <c r="J7" i="1"/>
  <c r="I7" i="1"/>
  <c r="H7" i="1"/>
  <c r="G7" i="1"/>
  <c r="F7" i="1"/>
  <c r="E7" i="1"/>
  <c r="D7" i="1"/>
  <c r="C6" i="1"/>
  <c r="C5" i="1"/>
  <c r="C4" i="1"/>
  <c r="C3" i="1"/>
  <c r="C2" i="1"/>
  <c r="C46" i="1" l="1"/>
  <c r="C55" i="1"/>
  <c r="C70" i="1"/>
  <c r="C13" i="1"/>
  <c r="C40" i="1"/>
  <c r="L81" i="1"/>
  <c r="C21" i="1"/>
  <c r="E81" i="1"/>
  <c r="M81" i="1"/>
  <c r="I81" i="1"/>
  <c r="F81" i="1"/>
  <c r="N81" i="1"/>
  <c r="J81" i="1"/>
  <c r="G81" i="1"/>
  <c r="O81" i="1"/>
  <c r="C80" i="1"/>
  <c r="K81" i="1"/>
  <c r="D81" i="1"/>
  <c r="C7" i="1"/>
  <c r="H81" i="1"/>
  <c r="C8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qst_0</author>
  </authors>
  <commentList>
    <comment ref="H14" authorId="0" shapeId="0" xr:uid="{3ADB6463-0EE2-48E2-9915-3605D84B4D3E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4万/例；首付款25%，500万，入组后合同节点付款500万</t>
        </r>
      </text>
    </comment>
    <comment ref="H15" authorId="0" shapeId="0" xr:uid="{31840AD6-E2AA-42D6-92AC-DA71012A07CB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1万/例，25%首付款50万，合同节点50万</t>
        </r>
      </text>
    </comment>
    <comment ref="H20" authorId="0" shapeId="0" xr:uid="{C31F11B4-0956-4743-91F5-8A8927A69181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牵头单位、重点专家等；2万/人，25人左右。</t>
        </r>
      </text>
    </comment>
    <comment ref="I20" authorId="0" shapeId="0" xr:uid="{55154817-2808-4BA4-8A3B-6211E966331A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冷链2万，促进费2万</t>
        </r>
      </text>
    </comment>
    <comment ref="J20" authorId="0" shapeId="0" xr:uid="{D3F7E9AF-BC99-4D47-95CD-474BDC2E5FC0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冷链2万，促进费2万。</t>
        </r>
      </text>
    </comment>
    <comment ref="K20" authorId="0" shapeId="0" xr:uid="{60D04934-C335-442F-95FD-1299B558B6A9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冷链2万，促进费2万；</t>
        </r>
      </text>
    </comment>
    <comment ref="L20" authorId="0" shapeId="0" xr:uid="{5880216B-54A2-4F49-912F-405A88D43D06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冷链2万，促进费2万；。</t>
        </r>
      </text>
    </comment>
    <comment ref="M20" authorId="0" shapeId="0" xr:uid="{D8EBFB1A-3AF0-4A27-A5E1-8E998488B462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冷链2万，促进费2万。</t>
        </r>
      </text>
    </comment>
    <comment ref="N20" authorId="0" shapeId="0" xr:uid="{F5A04BDC-3148-460B-BF65-92D3159EE44E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冷链2万，促进费2万。</t>
        </r>
      </text>
    </comment>
    <comment ref="O20" authorId="0" shapeId="0" xr:uid="{D9A30CAF-DF0C-4538-BD65-164FCA6E9B14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冷链2万，促进费2万。</t>
        </r>
      </text>
    </comment>
    <comment ref="K22" authorId="0" shapeId="0" xr:uid="{FA7F8758-6B0F-4C37-B763-C0048E9E46E2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CRO公司4万/例，首付款25%为1500万。</t>
        </r>
      </text>
    </comment>
    <comment ref="K23" authorId="0" shapeId="0" xr:uid="{66BB35F0-755E-4C6B-913E-EBF623F9C8D6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1万/例，首付款25%</t>
        </r>
      </text>
    </comment>
    <comment ref="L28" authorId="0" shapeId="0" xr:uid="{9A1E49CD-7542-4FC6-86E0-1E0E0B86A14B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促进费2万元。
研究者会；平均2万/人，250人左右。</t>
        </r>
      </text>
    </comment>
    <comment ref="M28" authorId="0" shapeId="0" xr:uid="{7C9DFB7A-A5A0-450C-AF99-CAE08CE428B7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冷链1万元；促进费2万元。
</t>
        </r>
      </text>
    </comment>
    <comment ref="N28" authorId="0" shapeId="0" xr:uid="{DF46BA0C-49A8-44A6-A4E7-77A852BB5FA9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冷链1万元；促进费2万元。
</t>
        </r>
      </text>
    </comment>
    <comment ref="O28" authorId="0" shapeId="0" xr:uid="{A33479A3-F14C-41F8-B4F9-4073EDB654E4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冷链1万元；促进费2万元。
</t>
        </r>
      </text>
    </comment>
    <comment ref="F48" authorId="0" shapeId="0" xr:uid="{DE5DFDD6-70CC-4816-A6FA-72BE57C53A18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单价20万每例，336例，首付款25%</t>
        </r>
      </text>
    </comment>
    <comment ref="F49" authorId="0" shapeId="0" xr:uid="{01B9C323-FBC3-42A2-9441-F4EAC17C5A3C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单价2万每例，首付款25%</t>
        </r>
      </text>
    </comment>
    <comment ref="I54" authorId="0" shapeId="0" xr:uid="{A10CCD22-108A-4FD6-A352-77594911F9D5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受试者保险50.4万元；卒中量表版权20万元；
</t>
        </r>
      </text>
    </comment>
    <comment ref="J54" authorId="0" shapeId="0" xr:uid="{DDC12CA3-3701-4BC2-87E6-01E7221AD008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冷链1万元；促进费4万元。</t>
        </r>
      </text>
    </comment>
    <comment ref="K54" authorId="0" shapeId="0" xr:uid="{F1E860BF-9866-4287-A74F-55EB3694622E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冷链1万元；医学词典0.2万元；促进费4万元。</t>
        </r>
      </text>
    </comment>
    <comment ref="L54" authorId="0" shapeId="0" xr:uid="{F1CF2C2D-7C43-4969-A68A-32A5E06ABF6D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冷链1万元；促进费4万元。</t>
        </r>
      </text>
    </comment>
    <comment ref="M54" authorId="0" shapeId="0" xr:uid="{AC268021-D800-4811-A360-9C1D2A3DE5A5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冷链1万元；促进费4万元。</t>
        </r>
      </text>
    </comment>
    <comment ref="N54" authorId="0" shapeId="0" xr:uid="{8E2061E4-F7A3-47A4-9B46-B7FF42E23D87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冷链1万元；促进费4万元。</t>
        </r>
      </text>
    </comment>
    <comment ref="O54" authorId="0" shapeId="0" xr:uid="{BF798E3D-692E-484A-856F-6E674CCC2055}">
      <text>
        <r>
          <rPr>
            <b/>
            <sz val="9"/>
            <rFont val="宋体"/>
            <family val="3"/>
            <charset val="134"/>
          </rPr>
          <t>qst_0:</t>
        </r>
        <r>
          <rPr>
            <sz val="9"/>
            <rFont val="宋体"/>
            <family val="3"/>
            <charset val="134"/>
          </rPr>
          <t xml:space="preserve">
冷链1万元；促进费4万元。</t>
        </r>
      </text>
    </comment>
  </commentList>
</comments>
</file>

<file path=xl/sharedStrings.xml><?xml version="1.0" encoding="utf-8"?>
<sst xmlns="http://schemas.openxmlformats.org/spreadsheetml/2006/main" count="175" uniqueCount="65">
  <si>
    <t>研发项目</t>
  </si>
  <si>
    <t>产品类别</t>
  </si>
  <si>
    <t>汇总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</si>
  <si>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</si>
  <si>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</si>
  <si>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</si>
  <si>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</si>
  <si>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</si>
  <si>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</si>
  <si>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</si>
  <si>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</si>
  <si>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</si>
  <si>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</si>
  <si>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</si>
  <si>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</si>
  <si>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mRNA药物</t>
  </si>
  <si>
    <t>药学研究</t>
  </si>
  <si>
    <t>药理毒理研究</t>
  </si>
  <si>
    <t>生产工艺研究</t>
  </si>
  <si>
    <t>注册申报费</t>
  </si>
  <si>
    <t>其他成本</t>
  </si>
  <si>
    <t>小计</t>
  </si>
  <si>
    <t>mRNA相关技术个性化治疗</t>
  </si>
  <si>
    <t>心梗上市后项目-IIT-500例</t>
  </si>
  <si>
    <t>CRO</t>
  </si>
  <si>
    <t>SMO</t>
  </si>
  <si>
    <t>对照药</t>
  </si>
  <si>
    <t>实验药</t>
  </si>
  <si>
    <t>NDA费用</t>
  </si>
  <si>
    <t>SAE</t>
  </si>
  <si>
    <t>心梗上市后项目-RWR-1500例</t>
  </si>
  <si>
    <t>脑梗4.5H</t>
  </si>
  <si>
    <t>全国总结大会</t>
  </si>
  <si>
    <t>第三方稽查</t>
  </si>
  <si>
    <t>申报费</t>
  </si>
  <si>
    <t>专家费</t>
  </si>
  <si>
    <t>NDA注册费</t>
  </si>
  <si>
    <t>发补研究</t>
  </si>
  <si>
    <t>B证相关</t>
  </si>
  <si>
    <t>检验</t>
  </si>
  <si>
    <t>核查</t>
  </si>
  <si>
    <t>审稿费+润色费+医院撰写</t>
  </si>
  <si>
    <t>小剂量预防梗塞</t>
  </si>
  <si>
    <t>非临床研究</t>
  </si>
  <si>
    <t>临床注册费</t>
  </si>
  <si>
    <t>医学</t>
  </si>
  <si>
    <t>脑梗扩窗24H</t>
  </si>
  <si>
    <t>其他</t>
  </si>
  <si>
    <t>大健康项目</t>
  </si>
  <si>
    <t>研发费用</t>
  </si>
  <si>
    <r>
      <rPr>
        <sz val="9"/>
        <color theme="1"/>
        <rFont val="微软雅黑"/>
        <family val="2"/>
        <charset val="134"/>
      </rPr>
      <t>CRO</t>
    </r>
    <r>
      <rPr>
        <sz val="11"/>
        <color theme="1"/>
        <rFont val="等线"/>
        <family val="3"/>
        <charset val="134"/>
        <scheme val="minor"/>
      </rPr>
      <t>合作</t>
    </r>
  </si>
  <si>
    <t>DMF</t>
  </si>
  <si>
    <t>DMF资料翻译</t>
  </si>
  <si>
    <t>CA费用</t>
  </si>
  <si>
    <t>场地费用</t>
  </si>
  <si>
    <t>代理费</t>
  </si>
  <si>
    <t>心梗NMPA NDA后续费用</t>
  </si>
  <si>
    <t>补充申请费</t>
  </si>
  <si>
    <t>再注册费</t>
  </si>
  <si>
    <t>脑梗FDA申报</t>
  </si>
  <si>
    <t>eCTD软件</t>
  </si>
  <si>
    <t>翻译</t>
  </si>
  <si>
    <t>澳门/香港IND申报</t>
  </si>
  <si>
    <t>总计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</si>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</sst>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0.00_);[Red]\(0.00\)"/>
  </numFmts>
  <fonts count="1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2"/>
      <name val="宋体"/>
      <family val="3"/>
      <charset val="134"/>
    </font>
    <font>
      <b/>
      <sz val="9"/>
      <name val="仿宋"/>
      <family val="3"/>
      <charset val="134"/>
    </font>
    <font>
      <sz val="9"/>
      <color theme="1"/>
      <name val="仿宋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>
      <alignment vertical="center"/>
    </xf>
    <xf numFmtId="0" fontId="6" fillId="0" borderId="0"/>
    <xf numFmtId="0" fontId="8" fillId="0" borderId="0"/>
  </cellStyleXfs>
  <cellXfs count="27">
    <xf numFmtId="0" fontId="0" fillId="0" borderId="0" xfId="0"/>
    <xf numFmtId="0" fontId="3" fillId="0" borderId="0" xfId="0" applyFont="1"/>
    <xf numFmtId="176" fontId="3" fillId="0" borderId="0" xfId="0" applyNumberFormat="1" applyFont="1"/>
    <xf numFmtId="0" fontId="4" fillId="2" borderId="1" xfId="0" applyFont="1" applyFill="1" applyBorder="1"/>
    <xf numFmtId="176" fontId="4" fillId="2" borderId="1" xfId="0" applyNumberFormat="1" applyFont="1" applyFill="1" applyBorder="1"/>
    <xf numFmtId="176" fontId="4" fillId="2" borderId="1" xfId="0" applyNumberFormat="1" applyFont="1" applyFill="1" applyBorder="1" applyAlignment="1">
      <alignment horizontal="right"/>
    </xf>
    <xf numFmtId="0" fontId="5" fillId="0" borderId="1" xfId="0" applyFont="1" applyBorder="1"/>
    <xf numFmtId="176" fontId="3" fillId="0" borderId="1" xfId="0" applyNumberFormat="1" applyFont="1" applyBorder="1"/>
    <xf numFmtId="0" fontId="4" fillId="3" borderId="1" xfId="0" applyFont="1" applyFill="1" applyBorder="1"/>
    <xf numFmtId="176" fontId="7" fillId="3" borderId="1" xfId="0" applyNumberFormat="1" applyFont="1" applyFill="1" applyBorder="1"/>
    <xf numFmtId="176" fontId="5" fillId="0" borderId="1" xfId="0" applyNumberFormat="1" applyFont="1" applyBorder="1"/>
    <xf numFmtId="176" fontId="0" fillId="0" borderId="1" xfId="0" applyNumberFormat="1" applyBorder="1"/>
    <xf numFmtId="176" fontId="0" fillId="4" borderId="1" xfId="0" applyNumberFormat="1" applyFill="1" applyBorder="1" applyAlignment="1">
      <alignment wrapText="1"/>
    </xf>
    <xf numFmtId="176" fontId="0" fillId="0" borderId="1" xfId="0" applyNumberFormat="1" applyBorder="1" applyAlignment="1">
      <alignment wrapText="1"/>
    </xf>
    <xf numFmtId="43" fontId="3" fillId="0" borderId="0" xfId="1" applyFont="1" applyAlignment="1"/>
    <xf numFmtId="176" fontId="0" fillId="4" borderId="1" xfId="0" applyNumberFormat="1" applyFill="1" applyBorder="1" applyAlignment="1">
      <alignment horizontal="center" wrapText="1"/>
    </xf>
    <xf numFmtId="43" fontId="3" fillId="0" borderId="0" xfId="0" applyNumberFormat="1" applyFont="1"/>
    <xf numFmtId="0" fontId="4" fillId="3" borderId="2" xfId="0" applyFont="1" applyFill="1" applyBorder="1"/>
    <xf numFmtId="176" fontId="7" fillId="3" borderId="2" xfId="0" applyNumberFormat="1" applyFont="1" applyFill="1" applyBorder="1"/>
    <xf numFmtId="0" fontId="4" fillId="4" borderId="1" xfId="0" applyFont="1" applyFill="1" applyBorder="1"/>
    <xf numFmtId="176" fontId="7" fillId="4" borderId="2" xfId="0" applyNumberFormat="1" applyFont="1" applyFill="1" applyBorder="1"/>
    <xf numFmtId="176" fontId="9" fillId="0" borderId="1" xfId="3" applyNumberFormat="1" applyFont="1" applyBorder="1" applyAlignment="1">
      <alignment horizontal="center" vertical="center"/>
    </xf>
    <xf numFmtId="176" fontId="10" fillId="0" borderId="1" xfId="0" applyNumberFormat="1" applyFont="1" applyBorder="1"/>
    <xf numFmtId="0" fontId="5" fillId="3" borderId="1" xfId="0" applyFont="1" applyFill="1" applyBorder="1"/>
    <xf numFmtId="176" fontId="10" fillId="0" borderId="2" xfId="0" applyNumberFormat="1" applyFont="1" applyBorder="1"/>
    <xf numFmtId="176" fontId="0" fillId="0" borderId="2" xfId="0" applyNumberFormat="1" applyBorder="1"/>
    <xf numFmtId="176" fontId="7" fillId="3" borderId="2" xfId="1" applyNumberFormat="1" applyFont="1" applyFill="1" applyBorder="1" applyAlignment="1"/>
  </cellXfs>
  <cellStyles count="4">
    <cellStyle name="常规" xfId="0" builtinId="0"/>
    <cellStyle name="常规 2 3" xfId="3" xr:uid="{DB7D2943-DC58-47FE-BEAB-18007C6B3B75}"/>
    <cellStyle name="常规 5" xfId="2" xr:uid="{94494556-4C1A-4876-9205-B1283F2C986A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1"/>
  <sheetViews>
    <sheetView tabSelected="1" topLeftCell="A61" workbookViewId="0">
      <selection activeCell="E11" sqref="E11"/>
    </sheetView>
  </sheetViews>
  <sheetFormatPr defaultColWidth="8.6640625" defaultRowHeight="15.6" outlineLevelRow="1" x14ac:dyDescent="0.35"/>
  <cols>
    <col min="1" max="1" width="23.21875" style="1" customWidth="1"/>
    <col min="2" max="2" width="21.88671875" style="1" customWidth="1"/>
    <col min="3" max="15" width="12" style="2" customWidth="1"/>
    <col min="16" max="22" width="8.6640625" style="1"/>
    <col min="23" max="23" width="11.5546875" style="1" customWidth="1"/>
    <col min="24" max="16384" width="8.6640625" style="1"/>
  </cols>
  <sheetData>
    <row r="1" spans="1:15" x14ac:dyDescent="0.3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35">
      <c r="A2" s="6" t="s">
        <v>15</v>
      </c>
      <c r="B2" s="6" t="s">
        <v>16</v>
      </c>
      <c r="C2" s="7">
        <f>SUM(D2:O2)</f>
        <v>2750</v>
      </c>
      <c r="D2" s="7">
        <v>250</v>
      </c>
      <c r="E2" s="7">
        <v>250</v>
      </c>
      <c r="F2" s="7">
        <v>250</v>
      </c>
      <c r="G2" s="7">
        <v>250</v>
      </c>
      <c r="H2" s="7">
        <v>250</v>
      </c>
      <c r="I2" s="7">
        <v>250</v>
      </c>
      <c r="J2" s="7">
        <v>250</v>
      </c>
      <c r="K2" s="7">
        <v>300</v>
      </c>
      <c r="L2" s="7">
        <v>100</v>
      </c>
      <c r="M2" s="7">
        <v>100</v>
      </c>
      <c r="N2" s="7">
        <v>250</v>
      </c>
      <c r="O2" s="7">
        <v>250</v>
      </c>
    </row>
    <row r="3" spans="1:15" outlineLevel="1" x14ac:dyDescent="0.35">
      <c r="A3" s="6" t="s">
        <v>15</v>
      </c>
      <c r="B3" s="6" t="s">
        <v>17</v>
      </c>
      <c r="C3" s="7">
        <f>SUM(D3:O3)</f>
        <v>3500</v>
      </c>
      <c r="D3" s="7"/>
      <c r="E3" s="7"/>
      <c r="F3" s="7"/>
      <c r="G3" s="7"/>
      <c r="H3" s="7"/>
      <c r="I3" s="7"/>
      <c r="J3" s="7"/>
      <c r="K3" s="7">
        <v>500</v>
      </c>
      <c r="L3" s="7">
        <v>750</v>
      </c>
      <c r="M3" s="7">
        <v>750</v>
      </c>
      <c r="N3" s="7">
        <v>0</v>
      </c>
      <c r="O3" s="7">
        <v>1500</v>
      </c>
    </row>
    <row r="4" spans="1:15" outlineLevel="1" x14ac:dyDescent="0.35">
      <c r="A4" s="6" t="s">
        <v>15</v>
      </c>
      <c r="B4" s="6" t="s">
        <v>18</v>
      </c>
      <c r="C4" s="7">
        <f t="shared" ref="C4:C54" si="0">SUM(D4:O4)</f>
        <v>1050</v>
      </c>
      <c r="D4" s="7"/>
      <c r="E4" s="7"/>
      <c r="F4" s="7"/>
      <c r="G4" s="7"/>
      <c r="H4" s="7"/>
      <c r="I4" s="7"/>
      <c r="J4" s="7"/>
      <c r="K4" s="7">
        <v>150</v>
      </c>
      <c r="L4" s="7">
        <v>300</v>
      </c>
      <c r="M4" s="7">
        <v>300</v>
      </c>
      <c r="N4" s="7">
        <v>300</v>
      </c>
      <c r="O4" s="7">
        <v>0</v>
      </c>
    </row>
    <row r="5" spans="1:15" outlineLevel="1" x14ac:dyDescent="0.35">
      <c r="A5" s="6" t="s">
        <v>15</v>
      </c>
      <c r="B5" s="6" t="s">
        <v>19</v>
      </c>
      <c r="C5" s="7">
        <f t="shared" si="0"/>
        <v>300</v>
      </c>
      <c r="D5" s="7"/>
      <c r="E5" s="7"/>
      <c r="F5" s="7"/>
      <c r="G5" s="7"/>
      <c r="H5" s="7"/>
      <c r="I5" s="7"/>
      <c r="J5" s="7"/>
      <c r="K5" s="7"/>
      <c r="L5" s="7"/>
      <c r="M5" s="7">
        <v>300</v>
      </c>
      <c r="N5" s="7"/>
      <c r="O5" s="7"/>
    </row>
    <row r="6" spans="1:15" outlineLevel="1" x14ac:dyDescent="0.35">
      <c r="A6" s="6" t="s">
        <v>15</v>
      </c>
      <c r="B6" s="6" t="s">
        <v>20</v>
      </c>
      <c r="C6" s="7">
        <f t="shared" si="0"/>
        <v>50</v>
      </c>
      <c r="D6" s="7"/>
      <c r="E6" s="7"/>
      <c r="F6" s="7"/>
      <c r="G6" s="7"/>
      <c r="H6" s="7"/>
      <c r="I6" s="7">
        <v>50</v>
      </c>
      <c r="J6" s="7"/>
      <c r="K6" s="7"/>
      <c r="L6" s="7"/>
      <c r="M6" s="7"/>
      <c r="N6" s="7"/>
      <c r="O6" s="7"/>
    </row>
    <row r="7" spans="1:15" ht="16.2" outlineLevel="1" x14ac:dyDescent="0.4">
      <c r="A7" s="8" t="s">
        <v>15</v>
      </c>
      <c r="B7" s="8" t="s">
        <v>21</v>
      </c>
      <c r="C7" s="9">
        <f t="shared" si="0"/>
        <v>7650</v>
      </c>
      <c r="D7" s="9">
        <f>SUM(D2:D6)</f>
        <v>250</v>
      </c>
      <c r="E7" s="9">
        <f t="shared" ref="E7:O7" si="1">SUM(E2:E6)</f>
        <v>250</v>
      </c>
      <c r="F7" s="9">
        <f t="shared" si="1"/>
        <v>250</v>
      </c>
      <c r="G7" s="9">
        <f t="shared" si="1"/>
        <v>250</v>
      </c>
      <c r="H7" s="9">
        <f t="shared" si="1"/>
        <v>250</v>
      </c>
      <c r="I7" s="9">
        <f t="shared" si="1"/>
        <v>300</v>
      </c>
      <c r="J7" s="9">
        <f t="shared" si="1"/>
        <v>250</v>
      </c>
      <c r="K7" s="9">
        <f t="shared" si="1"/>
        <v>950</v>
      </c>
      <c r="L7" s="9">
        <f t="shared" si="1"/>
        <v>1150</v>
      </c>
      <c r="M7" s="9">
        <f t="shared" si="1"/>
        <v>1450</v>
      </c>
      <c r="N7" s="9">
        <f t="shared" si="1"/>
        <v>550</v>
      </c>
      <c r="O7" s="9">
        <f t="shared" si="1"/>
        <v>1750</v>
      </c>
    </row>
    <row r="8" spans="1:15" outlineLevel="1" x14ac:dyDescent="0.35">
      <c r="A8" s="6" t="s">
        <v>22</v>
      </c>
      <c r="B8" s="6" t="s">
        <v>16</v>
      </c>
      <c r="C8" s="7">
        <f t="shared" si="0"/>
        <v>2750</v>
      </c>
      <c r="D8" s="7">
        <v>250</v>
      </c>
      <c r="E8" s="7">
        <v>250</v>
      </c>
      <c r="F8" s="7">
        <v>250</v>
      </c>
      <c r="G8" s="7">
        <v>250</v>
      </c>
      <c r="H8" s="7">
        <v>250</v>
      </c>
      <c r="I8" s="7">
        <v>250</v>
      </c>
      <c r="J8" s="7">
        <v>250</v>
      </c>
      <c r="K8" s="7">
        <v>300</v>
      </c>
      <c r="L8" s="7">
        <v>100</v>
      </c>
      <c r="M8" s="7">
        <v>100</v>
      </c>
      <c r="N8" s="7">
        <v>250</v>
      </c>
      <c r="O8" s="7">
        <v>250</v>
      </c>
    </row>
    <row r="9" spans="1:15" outlineLevel="1" x14ac:dyDescent="0.35">
      <c r="A9" s="6" t="s">
        <v>22</v>
      </c>
      <c r="B9" s="6" t="s">
        <v>17</v>
      </c>
      <c r="C9" s="7">
        <f t="shared" si="0"/>
        <v>3500</v>
      </c>
      <c r="D9" s="7"/>
      <c r="E9" s="7"/>
      <c r="F9" s="7"/>
      <c r="G9" s="7"/>
      <c r="H9" s="7"/>
      <c r="I9" s="7"/>
      <c r="J9" s="7"/>
      <c r="K9" s="7">
        <v>500</v>
      </c>
      <c r="L9" s="7">
        <v>750</v>
      </c>
      <c r="M9" s="7">
        <v>750</v>
      </c>
      <c r="N9" s="7">
        <v>0</v>
      </c>
      <c r="O9" s="7">
        <v>1500</v>
      </c>
    </row>
    <row r="10" spans="1:15" outlineLevel="1" x14ac:dyDescent="0.35">
      <c r="A10" s="6" t="s">
        <v>22</v>
      </c>
      <c r="B10" s="6" t="s">
        <v>18</v>
      </c>
      <c r="C10" s="7">
        <f t="shared" si="0"/>
        <v>1050</v>
      </c>
      <c r="D10" s="7"/>
      <c r="E10" s="7"/>
      <c r="F10" s="7"/>
      <c r="G10" s="7"/>
      <c r="H10" s="7"/>
      <c r="I10" s="7"/>
      <c r="J10" s="7"/>
      <c r="K10" s="7">
        <v>150</v>
      </c>
      <c r="L10" s="7">
        <v>300</v>
      </c>
      <c r="M10" s="7">
        <v>300</v>
      </c>
      <c r="N10" s="7">
        <v>300</v>
      </c>
      <c r="O10" s="7">
        <v>0</v>
      </c>
    </row>
    <row r="11" spans="1:15" outlineLevel="1" x14ac:dyDescent="0.35">
      <c r="A11" s="6" t="s">
        <v>22</v>
      </c>
      <c r="B11" s="6" t="s">
        <v>19</v>
      </c>
      <c r="C11" s="7">
        <f t="shared" si="0"/>
        <v>300</v>
      </c>
      <c r="D11" s="7"/>
      <c r="E11" s="7"/>
      <c r="F11" s="7"/>
      <c r="G11" s="7"/>
      <c r="H11" s="7"/>
      <c r="I11" s="7"/>
      <c r="J11" s="7"/>
      <c r="K11" s="7"/>
      <c r="L11" s="7"/>
      <c r="M11" s="7">
        <v>300</v>
      </c>
      <c r="N11" s="7"/>
      <c r="O11" s="7"/>
    </row>
    <row r="12" spans="1:15" outlineLevel="1" x14ac:dyDescent="0.35">
      <c r="A12" s="6" t="s">
        <v>22</v>
      </c>
      <c r="B12" s="6" t="s">
        <v>20</v>
      </c>
      <c r="C12" s="7">
        <f t="shared" si="0"/>
        <v>50</v>
      </c>
      <c r="D12" s="7"/>
      <c r="E12" s="7"/>
      <c r="F12" s="7"/>
      <c r="G12" s="7"/>
      <c r="H12" s="7"/>
      <c r="I12" s="7">
        <v>50</v>
      </c>
      <c r="J12" s="7"/>
      <c r="K12" s="7"/>
      <c r="L12" s="7"/>
      <c r="M12" s="7"/>
      <c r="N12" s="7"/>
      <c r="O12" s="7"/>
    </row>
    <row r="13" spans="1:15" ht="16.2" outlineLevel="1" x14ac:dyDescent="0.4">
      <c r="A13" s="8" t="s">
        <v>22</v>
      </c>
      <c r="B13" s="8" t="s">
        <v>21</v>
      </c>
      <c r="C13" s="9">
        <f t="shared" si="0"/>
        <v>7650</v>
      </c>
      <c r="D13" s="9">
        <f>SUM(D8:D12)</f>
        <v>250</v>
      </c>
      <c r="E13" s="9">
        <f t="shared" ref="E13:O13" si="2">SUM(E8:E12)</f>
        <v>250</v>
      </c>
      <c r="F13" s="9">
        <f t="shared" si="2"/>
        <v>250</v>
      </c>
      <c r="G13" s="9">
        <f t="shared" si="2"/>
        <v>250</v>
      </c>
      <c r="H13" s="9">
        <f t="shared" si="2"/>
        <v>250</v>
      </c>
      <c r="I13" s="9">
        <f t="shared" si="2"/>
        <v>300</v>
      </c>
      <c r="J13" s="9">
        <f t="shared" si="2"/>
        <v>250</v>
      </c>
      <c r="K13" s="9">
        <f t="shared" si="2"/>
        <v>950</v>
      </c>
      <c r="L13" s="9">
        <f t="shared" si="2"/>
        <v>1150</v>
      </c>
      <c r="M13" s="9">
        <f t="shared" si="2"/>
        <v>1450</v>
      </c>
      <c r="N13" s="9">
        <f t="shared" si="2"/>
        <v>550</v>
      </c>
      <c r="O13" s="9">
        <f t="shared" si="2"/>
        <v>1750</v>
      </c>
    </row>
    <row r="14" spans="1:15" outlineLevel="1" x14ac:dyDescent="0.35">
      <c r="A14" s="6" t="s">
        <v>23</v>
      </c>
      <c r="B14" s="6" t="s">
        <v>24</v>
      </c>
      <c r="C14" s="10">
        <f t="shared" si="0"/>
        <v>1000</v>
      </c>
      <c r="D14" s="11"/>
      <c r="E14" s="11"/>
      <c r="F14" s="11"/>
      <c r="G14" s="11"/>
      <c r="H14" s="11">
        <v>1000</v>
      </c>
      <c r="I14" s="11"/>
      <c r="J14" s="11"/>
      <c r="K14" s="11"/>
      <c r="L14" s="11"/>
      <c r="M14" s="11"/>
      <c r="N14" s="11"/>
      <c r="O14" s="11"/>
    </row>
    <row r="15" spans="1:15" x14ac:dyDescent="0.35">
      <c r="A15" s="6" t="s">
        <v>23</v>
      </c>
      <c r="B15" s="6" t="s">
        <v>25</v>
      </c>
      <c r="C15" s="10">
        <f t="shared" si="0"/>
        <v>100</v>
      </c>
      <c r="D15" s="11"/>
      <c r="E15" s="11"/>
      <c r="F15" s="11"/>
      <c r="G15" s="11"/>
      <c r="H15" s="11">
        <v>100</v>
      </c>
      <c r="I15" s="11"/>
      <c r="J15" s="11"/>
      <c r="K15" s="11"/>
      <c r="L15" s="11"/>
      <c r="M15" s="11"/>
      <c r="N15" s="11"/>
      <c r="O15" s="11"/>
    </row>
    <row r="16" spans="1:15" x14ac:dyDescent="0.35">
      <c r="A16" s="6" t="s">
        <v>23</v>
      </c>
      <c r="B16" s="6" t="s">
        <v>26</v>
      </c>
      <c r="C16" s="10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23" x14ac:dyDescent="0.35">
      <c r="A17" s="6" t="s">
        <v>23</v>
      </c>
      <c r="B17" s="6" t="s">
        <v>27</v>
      </c>
      <c r="C17" s="10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23" x14ac:dyDescent="0.35">
      <c r="A18" s="6" t="s">
        <v>23</v>
      </c>
      <c r="B18" s="6" t="s">
        <v>28</v>
      </c>
      <c r="C18" s="10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23" x14ac:dyDescent="0.35">
      <c r="A19" s="6" t="s">
        <v>23</v>
      </c>
      <c r="B19" s="6" t="s">
        <v>29</v>
      </c>
      <c r="C19" s="10">
        <f t="shared" si="0"/>
        <v>140</v>
      </c>
      <c r="D19" s="11"/>
      <c r="E19" s="11"/>
      <c r="F19" s="11"/>
      <c r="G19" s="11"/>
      <c r="H19" s="11"/>
      <c r="I19" s="12">
        <v>20</v>
      </c>
      <c r="J19" s="11">
        <v>20</v>
      </c>
      <c r="K19" s="11">
        <v>20</v>
      </c>
      <c r="L19" s="11">
        <v>20</v>
      </c>
      <c r="M19" s="11">
        <v>20</v>
      </c>
      <c r="N19" s="11">
        <v>20</v>
      </c>
      <c r="O19" s="11">
        <v>20</v>
      </c>
    </row>
    <row r="20" spans="1:23" x14ac:dyDescent="0.35">
      <c r="A20" s="6" t="s">
        <v>23</v>
      </c>
      <c r="B20" s="6" t="s">
        <v>20</v>
      </c>
      <c r="C20" s="10">
        <f t="shared" si="0"/>
        <v>78</v>
      </c>
      <c r="D20" s="11"/>
      <c r="E20" s="11"/>
      <c r="F20" s="11"/>
      <c r="G20" s="11"/>
      <c r="H20" s="13">
        <v>50</v>
      </c>
      <c r="I20" s="11">
        <v>4</v>
      </c>
      <c r="J20" s="11">
        <v>4</v>
      </c>
      <c r="K20" s="11">
        <v>4</v>
      </c>
      <c r="L20" s="11">
        <v>4</v>
      </c>
      <c r="M20" s="11">
        <v>4</v>
      </c>
      <c r="N20" s="11">
        <v>4</v>
      </c>
      <c r="O20" s="11">
        <v>4</v>
      </c>
    </row>
    <row r="21" spans="1:23" ht="16.2" x14ac:dyDescent="0.4">
      <c r="A21" s="8" t="s">
        <v>23</v>
      </c>
      <c r="B21" s="8" t="s">
        <v>21</v>
      </c>
      <c r="C21" s="9">
        <f t="shared" si="0"/>
        <v>1318</v>
      </c>
      <c r="D21" s="9">
        <f t="shared" ref="D21:O21" si="3">SUM(D14:D20)</f>
        <v>0</v>
      </c>
      <c r="E21" s="9">
        <f t="shared" si="3"/>
        <v>0</v>
      </c>
      <c r="F21" s="9">
        <f t="shared" si="3"/>
        <v>0</v>
      </c>
      <c r="G21" s="9">
        <f t="shared" si="3"/>
        <v>0</v>
      </c>
      <c r="H21" s="9">
        <f t="shared" si="3"/>
        <v>1150</v>
      </c>
      <c r="I21" s="9">
        <f t="shared" si="3"/>
        <v>24</v>
      </c>
      <c r="J21" s="9">
        <f t="shared" si="3"/>
        <v>24</v>
      </c>
      <c r="K21" s="9">
        <f t="shared" si="3"/>
        <v>24</v>
      </c>
      <c r="L21" s="9">
        <f t="shared" si="3"/>
        <v>24</v>
      </c>
      <c r="M21" s="9">
        <f t="shared" si="3"/>
        <v>24</v>
      </c>
      <c r="N21" s="9">
        <f t="shared" si="3"/>
        <v>24</v>
      </c>
      <c r="O21" s="9">
        <f t="shared" si="3"/>
        <v>24</v>
      </c>
    </row>
    <row r="22" spans="1:23" x14ac:dyDescent="0.35">
      <c r="A22" s="6" t="s">
        <v>30</v>
      </c>
      <c r="B22" s="6" t="s">
        <v>24</v>
      </c>
      <c r="C22" s="10">
        <f t="shared" si="0"/>
        <v>1500</v>
      </c>
      <c r="D22" s="10"/>
      <c r="E22" s="10"/>
      <c r="F22" s="10"/>
      <c r="G22" s="10"/>
      <c r="H22" s="10"/>
      <c r="I22" s="10"/>
      <c r="J22" s="10"/>
      <c r="K22" s="11">
        <v>1500</v>
      </c>
      <c r="L22" s="11"/>
      <c r="M22" s="11"/>
      <c r="N22" s="11"/>
      <c r="O22" s="11"/>
    </row>
    <row r="23" spans="1:23" x14ac:dyDescent="0.35">
      <c r="A23" s="6" t="s">
        <v>30</v>
      </c>
      <c r="B23" s="6" t="s">
        <v>25</v>
      </c>
      <c r="C23" s="10">
        <f t="shared" si="0"/>
        <v>375</v>
      </c>
      <c r="D23" s="10"/>
      <c r="E23" s="10"/>
      <c r="F23" s="10"/>
      <c r="G23" s="10"/>
      <c r="H23" s="10"/>
      <c r="I23" s="10"/>
      <c r="J23" s="10"/>
      <c r="K23" s="11">
        <v>375</v>
      </c>
      <c r="L23" s="11"/>
      <c r="M23" s="11"/>
      <c r="N23" s="11"/>
      <c r="O23" s="11"/>
    </row>
    <row r="24" spans="1:23" x14ac:dyDescent="0.35">
      <c r="A24" s="6" t="s">
        <v>30</v>
      </c>
      <c r="B24" s="6" t="s">
        <v>26</v>
      </c>
      <c r="C24" s="10">
        <f t="shared" si="0"/>
        <v>0</v>
      </c>
      <c r="D24" s="10"/>
      <c r="E24" s="10"/>
      <c r="F24" s="10"/>
      <c r="G24" s="10"/>
      <c r="H24" s="10"/>
      <c r="I24" s="10"/>
      <c r="J24" s="10"/>
      <c r="K24" s="11"/>
      <c r="L24" s="11"/>
      <c r="M24" s="11"/>
      <c r="N24" s="11"/>
      <c r="O24" s="11"/>
    </row>
    <row r="25" spans="1:23" x14ac:dyDescent="0.35">
      <c r="A25" s="6" t="s">
        <v>30</v>
      </c>
      <c r="B25" s="6" t="s">
        <v>27</v>
      </c>
      <c r="C25" s="10">
        <f t="shared" si="0"/>
        <v>0</v>
      </c>
      <c r="D25" s="10"/>
      <c r="E25" s="10"/>
      <c r="F25" s="10"/>
      <c r="G25" s="10"/>
      <c r="H25" s="10"/>
      <c r="I25" s="10"/>
      <c r="J25" s="10"/>
      <c r="K25" s="11"/>
      <c r="L25" s="11"/>
      <c r="M25" s="11"/>
      <c r="N25" s="11"/>
      <c r="O25" s="11"/>
    </row>
    <row r="26" spans="1:23" x14ac:dyDescent="0.35">
      <c r="A26" s="6" t="s">
        <v>30</v>
      </c>
      <c r="B26" s="6" t="s">
        <v>28</v>
      </c>
      <c r="C26" s="10">
        <f t="shared" si="0"/>
        <v>0</v>
      </c>
      <c r="D26" s="10"/>
      <c r="E26" s="10"/>
      <c r="F26" s="10"/>
      <c r="G26" s="10"/>
      <c r="H26" s="10"/>
      <c r="I26" s="10"/>
      <c r="J26" s="10"/>
      <c r="K26" s="11"/>
      <c r="L26" s="11"/>
      <c r="M26" s="11"/>
      <c r="N26" s="11"/>
      <c r="O26" s="11"/>
      <c r="W26" s="14"/>
    </row>
    <row r="27" spans="1:23" x14ac:dyDescent="0.35">
      <c r="A27" s="6" t="s">
        <v>30</v>
      </c>
      <c r="B27" s="6" t="s">
        <v>29</v>
      </c>
      <c r="C27" s="10">
        <f t="shared" si="0"/>
        <v>70</v>
      </c>
      <c r="D27" s="10"/>
      <c r="E27" s="10"/>
      <c r="F27" s="10"/>
      <c r="G27" s="10"/>
      <c r="H27" s="10"/>
      <c r="I27" s="10"/>
      <c r="J27" s="10"/>
      <c r="K27" s="11"/>
      <c r="L27" s="15">
        <v>10</v>
      </c>
      <c r="M27" s="11">
        <v>20</v>
      </c>
      <c r="N27" s="11">
        <v>20</v>
      </c>
      <c r="O27" s="11">
        <v>20</v>
      </c>
      <c r="W27" s="14"/>
    </row>
    <row r="28" spans="1:23" x14ac:dyDescent="0.35">
      <c r="A28" s="6" t="s">
        <v>30</v>
      </c>
      <c r="B28" s="6" t="s">
        <v>20</v>
      </c>
      <c r="C28" s="10">
        <f t="shared" si="0"/>
        <v>511</v>
      </c>
      <c r="D28" s="10"/>
      <c r="E28" s="10"/>
      <c r="F28" s="10"/>
      <c r="G28" s="10"/>
      <c r="H28" s="10"/>
      <c r="I28" s="10"/>
      <c r="J28" s="10"/>
      <c r="K28" s="13"/>
      <c r="L28" s="11">
        <v>502</v>
      </c>
      <c r="M28" s="11">
        <v>3</v>
      </c>
      <c r="N28" s="11">
        <v>3</v>
      </c>
      <c r="O28" s="11">
        <v>3</v>
      </c>
      <c r="W28" s="16"/>
    </row>
    <row r="29" spans="1:23" ht="16.2" x14ac:dyDescent="0.4">
      <c r="A29" s="8" t="s">
        <v>30</v>
      </c>
      <c r="B29" s="8" t="s">
        <v>21</v>
      </c>
      <c r="C29" s="9">
        <f t="shared" si="0"/>
        <v>2456</v>
      </c>
      <c r="D29" s="9">
        <f t="shared" ref="D29:O29" si="4">SUM(D22:D28)</f>
        <v>0</v>
      </c>
      <c r="E29" s="9">
        <f t="shared" si="4"/>
        <v>0</v>
      </c>
      <c r="F29" s="9">
        <f t="shared" si="4"/>
        <v>0</v>
      </c>
      <c r="G29" s="9">
        <f t="shared" si="4"/>
        <v>0</v>
      </c>
      <c r="H29" s="9">
        <f t="shared" si="4"/>
        <v>0</v>
      </c>
      <c r="I29" s="9">
        <f t="shared" si="4"/>
        <v>0</v>
      </c>
      <c r="J29" s="9">
        <f t="shared" si="4"/>
        <v>0</v>
      </c>
      <c r="K29" s="9">
        <f t="shared" si="4"/>
        <v>1875</v>
      </c>
      <c r="L29" s="9">
        <f t="shared" si="4"/>
        <v>512</v>
      </c>
      <c r="M29" s="9">
        <f t="shared" si="4"/>
        <v>23</v>
      </c>
      <c r="N29" s="9">
        <f t="shared" si="4"/>
        <v>23</v>
      </c>
      <c r="O29" s="9">
        <f t="shared" si="4"/>
        <v>23</v>
      </c>
    </row>
    <row r="30" spans="1:23" x14ac:dyDescent="0.35">
      <c r="A30" s="6" t="s">
        <v>31</v>
      </c>
      <c r="B30" s="6" t="s">
        <v>32</v>
      </c>
      <c r="C30" s="10">
        <f t="shared" si="0"/>
        <v>800</v>
      </c>
      <c r="D30" s="10"/>
      <c r="E30" s="10"/>
      <c r="F30" s="11"/>
      <c r="G30" s="11"/>
      <c r="H30" s="11"/>
      <c r="I30" s="11">
        <v>800</v>
      </c>
      <c r="J30" s="10"/>
      <c r="K30" s="10"/>
      <c r="L30" s="10"/>
      <c r="M30" s="10"/>
      <c r="N30" s="10"/>
      <c r="O30" s="10"/>
    </row>
    <row r="31" spans="1:23" x14ac:dyDescent="0.35">
      <c r="A31" s="6" t="s">
        <v>31</v>
      </c>
      <c r="B31" s="6" t="s">
        <v>33</v>
      </c>
      <c r="C31" s="10">
        <f t="shared" si="0"/>
        <v>120</v>
      </c>
      <c r="D31" s="10"/>
      <c r="E31" s="10"/>
      <c r="F31" s="11">
        <v>24</v>
      </c>
      <c r="G31" s="11"/>
      <c r="H31" s="11">
        <v>96</v>
      </c>
      <c r="I31" s="11"/>
      <c r="J31" s="10"/>
      <c r="K31" s="10"/>
      <c r="L31" s="10"/>
      <c r="M31" s="10"/>
      <c r="N31" s="10"/>
      <c r="O31" s="10"/>
    </row>
    <row r="32" spans="1:23" x14ac:dyDescent="0.35">
      <c r="A32" s="6" t="s">
        <v>31</v>
      </c>
      <c r="B32" s="6" t="s">
        <v>34</v>
      </c>
      <c r="C32" s="10">
        <f t="shared" si="0"/>
        <v>10</v>
      </c>
      <c r="D32" s="10"/>
      <c r="E32" s="10"/>
      <c r="F32" s="11">
        <v>4</v>
      </c>
      <c r="G32" s="11"/>
      <c r="H32" s="11"/>
      <c r="I32" s="11">
        <v>2</v>
      </c>
      <c r="J32" s="11"/>
      <c r="K32" s="11"/>
      <c r="L32" s="11">
        <v>2</v>
      </c>
      <c r="M32" s="11"/>
      <c r="N32" s="11"/>
      <c r="O32" s="11">
        <v>2</v>
      </c>
    </row>
    <row r="33" spans="1:15" x14ac:dyDescent="0.35">
      <c r="A33" s="6" t="s">
        <v>31</v>
      </c>
      <c r="B33" s="6" t="s">
        <v>35</v>
      </c>
      <c r="C33" s="10">
        <f t="shared" si="0"/>
        <v>20</v>
      </c>
      <c r="D33" s="10"/>
      <c r="E33" s="10"/>
      <c r="F33" s="11">
        <v>5</v>
      </c>
      <c r="G33" s="11"/>
      <c r="H33" s="11"/>
      <c r="I33" s="11">
        <v>5</v>
      </c>
      <c r="J33" s="11"/>
      <c r="K33" s="11"/>
      <c r="L33" s="11">
        <v>5</v>
      </c>
      <c r="M33" s="11"/>
      <c r="N33" s="11"/>
      <c r="O33" s="11">
        <v>5</v>
      </c>
    </row>
    <row r="34" spans="1:15" x14ac:dyDescent="0.35">
      <c r="A34" s="6" t="s">
        <v>31</v>
      </c>
      <c r="B34" s="6" t="s">
        <v>36</v>
      </c>
      <c r="C34" s="10">
        <f t="shared" si="0"/>
        <v>45</v>
      </c>
      <c r="D34" s="10"/>
      <c r="E34" s="10"/>
      <c r="G34" s="11"/>
      <c r="H34" s="11"/>
      <c r="I34" s="11"/>
      <c r="J34" s="11"/>
      <c r="K34" s="11"/>
      <c r="L34" s="11">
        <v>45</v>
      </c>
      <c r="M34" s="11"/>
      <c r="N34" s="11"/>
      <c r="O34" s="11"/>
    </row>
    <row r="35" spans="1:15" x14ac:dyDescent="0.35">
      <c r="A35" s="6" t="s">
        <v>31</v>
      </c>
      <c r="B35" s="6" t="s">
        <v>37</v>
      </c>
      <c r="C35" s="10">
        <f t="shared" si="0"/>
        <v>50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>
        <v>50</v>
      </c>
    </row>
    <row r="36" spans="1:15" x14ac:dyDescent="0.35">
      <c r="A36" s="6" t="s">
        <v>31</v>
      </c>
      <c r="B36" s="6" t="s">
        <v>38</v>
      </c>
      <c r="C36" s="10">
        <f t="shared" si="0"/>
        <v>50</v>
      </c>
      <c r="D36" s="10"/>
      <c r="E36" s="10"/>
      <c r="F36" s="11">
        <v>20</v>
      </c>
      <c r="G36" s="11"/>
      <c r="H36" s="11"/>
      <c r="I36" s="11">
        <v>20</v>
      </c>
      <c r="J36" s="11"/>
      <c r="K36" s="11"/>
      <c r="L36" s="11">
        <v>10</v>
      </c>
      <c r="M36" s="11"/>
      <c r="N36" s="11"/>
      <c r="O36" s="11"/>
    </row>
    <row r="37" spans="1:15" x14ac:dyDescent="0.35">
      <c r="A37" s="6" t="s">
        <v>31</v>
      </c>
      <c r="B37" s="6" t="s">
        <v>39</v>
      </c>
      <c r="C37" s="10">
        <f t="shared" si="0"/>
        <v>30</v>
      </c>
      <c r="D37" s="10"/>
      <c r="E37" s="10"/>
      <c r="F37" s="11"/>
      <c r="G37" s="11"/>
      <c r="H37" s="11"/>
      <c r="I37" s="11">
        <v>20</v>
      </c>
      <c r="J37" s="11"/>
      <c r="K37" s="11"/>
      <c r="L37" s="11">
        <v>10</v>
      </c>
      <c r="M37" s="11"/>
      <c r="N37" s="11"/>
      <c r="O37" s="11"/>
    </row>
    <row r="38" spans="1:15" x14ac:dyDescent="0.35">
      <c r="A38" s="6" t="s">
        <v>31</v>
      </c>
      <c r="B38" s="6" t="s">
        <v>40</v>
      </c>
      <c r="C38" s="10">
        <f t="shared" si="0"/>
        <v>30</v>
      </c>
      <c r="D38" s="10"/>
      <c r="E38" s="10"/>
      <c r="F38" s="11"/>
      <c r="G38" s="11"/>
      <c r="H38" s="11"/>
      <c r="I38" s="11">
        <v>20</v>
      </c>
      <c r="J38" s="11"/>
      <c r="K38" s="11">
        <v>10</v>
      </c>
      <c r="L38" s="11"/>
      <c r="M38" s="11"/>
      <c r="N38" s="11"/>
      <c r="O38" s="11"/>
    </row>
    <row r="39" spans="1:15" x14ac:dyDescent="0.35">
      <c r="A39" s="6" t="s">
        <v>31</v>
      </c>
      <c r="B39" s="6" t="s">
        <v>41</v>
      </c>
      <c r="C39" s="10">
        <f t="shared" si="0"/>
        <v>28</v>
      </c>
      <c r="D39" s="10"/>
      <c r="E39" s="10"/>
      <c r="F39" s="11"/>
      <c r="G39" s="11"/>
      <c r="H39" s="11"/>
      <c r="I39" s="11">
        <v>10</v>
      </c>
      <c r="J39" s="10">
        <v>10</v>
      </c>
      <c r="K39" s="10"/>
      <c r="L39" s="10">
        <v>4</v>
      </c>
      <c r="M39" s="10"/>
      <c r="N39" s="10">
        <v>4</v>
      </c>
      <c r="O39" s="10"/>
    </row>
    <row r="40" spans="1:15" ht="16.2" x14ac:dyDescent="0.4">
      <c r="A40" s="8" t="s">
        <v>31</v>
      </c>
      <c r="B40" s="8" t="s">
        <v>21</v>
      </c>
      <c r="C40" s="9">
        <f t="shared" si="0"/>
        <v>1183</v>
      </c>
      <c r="D40" s="9">
        <f>SUM(D30:D39)</f>
        <v>0</v>
      </c>
      <c r="E40" s="9">
        <f t="shared" ref="E40:O40" si="5">SUM(E30:E39)</f>
        <v>0</v>
      </c>
      <c r="F40" s="9">
        <f t="shared" si="5"/>
        <v>53</v>
      </c>
      <c r="G40" s="9">
        <f t="shared" si="5"/>
        <v>0</v>
      </c>
      <c r="H40" s="9">
        <f t="shared" si="5"/>
        <v>96</v>
      </c>
      <c r="I40" s="9">
        <f t="shared" si="5"/>
        <v>877</v>
      </c>
      <c r="J40" s="9">
        <f t="shared" si="5"/>
        <v>10</v>
      </c>
      <c r="K40" s="9">
        <f t="shared" si="5"/>
        <v>10</v>
      </c>
      <c r="L40" s="9">
        <f t="shared" si="5"/>
        <v>76</v>
      </c>
      <c r="M40" s="9">
        <f t="shared" si="5"/>
        <v>0</v>
      </c>
      <c r="N40" s="9">
        <f t="shared" si="5"/>
        <v>4</v>
      </c>
      <c r="O40" s="9">
        <f t="shared" si="5"/>
        <v>57</v>
      </c>
    </row>
    <row r="41" spans="1:15" x14ac:dyDescent="0.35">
      <c r="A41" s="6" t="s">
        <v>42</v>
      </c>
      <c r="B41" s="6" t="s">
        <v>43</v>
      </c>
      <c r="C41" s="10">
        <f t="shared" si="0"/>
        <v>120</v>
      </c>
      <c r="D41" s="10"/>
      <c r="E41" s="10">
        <v>30</v>
      </c>
      <c r="F41" s="10"/>
      <c r="G41" s="10"/>
      <c r="H41" s="10">
        <v>50</v>
      </c>
      <c r="I41" s="10"/>
      <c r="J41" s="10">
        <v>40</v>
      </c>
      <c r="K41" s="10"/>
      <c r="L41" s="10"/>
      <c r="M41" s="10"/>
      <c r="N41" s="10"/>
      <c r="O41" s="10"/>
    </row>
    <row r="42" spans="1:15" x14ac:dyDescent="0.35">
      <c r="A42" s="6" t="s">
        <v>42</v>
      </c>
      <c r="B42" s="6" t="s">
        <v>34</v>
      </c>
      <c r="C42" s="10">
        <f t="shared" si="0"/>
        <v>4</v>
      </c>
      <c r="D42" s="10"/>
      <c r="E42" s="10"/>
      <c r="F42" s="10"/>
      <c r="G42" s="10"/>
      <c r="H42" s="10"/>
      <c r="I42" s="10">
        <v>4</v>
      </c>
      <c r="J42" s="10"/>
      <c r="K42" s="10"/>
      <c r="L42" s="10"/>
      <c r="M42" s="10"/>
      <c r="N42" s="10"/>
      <c r="O42" s="10"/>
    </row>
    <row r="43" spans="1:15" x14ac:dyDescent="0.35">
      <c r="A43" s="6" t="s">
        <v>42</v>
      </c>
      <c r="B43" s="6" t="s">
        <v>35</v>
      </c>
      <c r="C43" s="10">
        <f t="shared" si="0"/>
        <v>6</v>
      </c>
      <c r="D43" s="10"/>
      <c r="E43" s="10"/>
      <c r="F43" s="10"/>
      <c r="G43" s="10"/>
      <c r="H43" s="10"/>
      <c r="I43" s="10">
        <v>6</v>
      </c>
      <c r="J43" s="10"/>
      <c r="K43" s="10"/>
      <c r="L43" s="10"/>
      <c r="M43" s="10"/>
      <c r="N43" s="10"/>
      <c r="O43" s="10"/>
    </row>
    <row r="44" spans="1:15" x14ac:dyDescent="0.35">
      <c r="A44" s="6" t="s">
        <v>42</v>
      </c>
      <c r="B44" s="6" t="s">
        <v>44</v>
      </c>
      <c r="C44" s="10">
        <f t="shared" si="0"/>
        <v>20</v>
      </c>
      <c r="D44" s="10"/>
      <c r="E44" s="10"/>
      <c r="F44" s="10"/>
      <c r="G44" s="10"/>
      <c r="H44" s="10"/>
      <c r="I44" s="10">
        <v>20</v>
      </c>
      <c r="J44" s="10"/>
      <c r="K44" s="10"/>
      <c r="L44" s="10"/>
      <c r="M44" s="10"/>
      <c r="N44" s="10"/>
      <c r="O44" s="10"/>
    </row>
    <row r="45" spans="1:15" x14ac:dyDescent="0.35">
      <c r="A45" s="6" t="s">
        <v>42</v>
      </c>
      <c r="B45" s="6" t="s">
        <v>45</v>
      </c>
      <c r="C45" s="10">
        <f t="shared" si="0"/>
        <v>20</v>
      </c>
      <c r="D45" s="10"/>
      <c r="E45" s="10"/>
      <c r="F45" s="10">
        <v>10</v>
      </c>
      <c r="G45" s="10"/>
      <c r="H45" s="10"/>
      <c r="I45" s="10">
        <v>5</v>
      </c>
      <c r="J45" s="10"/>
      <c r="K45" s="10"/>
      <c r="L45" s="10">
        <v>5</v>
      </c>
      <c r="M45" s="10"/>
      <c r="N45" s="10"/>
      <c r="O45" s="10"/>
    </row>
    <row r="46" spans="1:15" ht="16.2" x14ac:dyDescent="0.4">
      <c r="A46" s="8" t="s">
        <v>42</v>
      </c>
      <c r="B46" s="8" t="s">
        <v>21</v>
      </c>
      <c r="C46" s="9">
        <f t="shared" ref="C46:O46" si="6">SUM(C41:C45)</f>
        <v>170</v>
      </c>
      <c r="D46" s="9">
        <f t="shared" si="6"/>
        <v>0</v>
      </c>
      <c r="E46" s="9">
        <f t="shared" si="6"/>
        <v>30</v>
      </c>
      <c r="F46" s="9">
        <f t="shared" si="6"/>
        <v>10</v>
      </c>
      <c r="G46" s="9">
        <f t="shared" si="6"/>
        <v>0</v>
      </c>
      <c r="H46" s="9">
        <f t="shared" si="6"/>
        <v>50</v>
      </c>
      <c r="I46" s="9">
        <f t="shared" si="6"/>
        <v>35</v>
      </c>
      <c r="J46" s="9">
        <f t="shared" si="6"/>
        <v>40</v>
      </c>
      <c r="K46" s="9">
        <f t="shared" si="6"/>
        <v>0</v>
      </c>
      <c r="L46" s="9">
        <f t="shared" si="6"/>
        <v>5</v>
      </c>
      <c r="M46" s="9">
        <f t="shared" si="6"/>
        <v>0</v>
      </c>
      <c r="N46" s="9">
        <f t="shared" si="6"/>
        <v>0</v>
      </c>
      <c r="O46" s="9">
        <f t="shared" si="6"/>
        <v>0</v>
      </c>
    </row>
    <row r="47" spans="1:15" x14ac:dyDescent="0.35">
      <c r="A47" s="6" t="s">
        <v>46</v>
      </c>
      <c r="B47" s="6" t="s">
        <v>16</v>
      </c>
      <c r="C47" s="10">
        <f t="shared" si="0"/>
        <v>0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x14ac:dyDescent="0.35">
      <c r="A48" s="6" t="s">
        <v>46</v>
      </c>
      <c r="B48" s="6" t="s">
        <v>24</v>
      </c>
      <c r="C48" s="10">
        <f t="shared" si="0"/>
        <v>1680</v>
      </c>
      <c r="D48" s="11"/>
      <c r="E48" s="11"/>
      <c r="F48" s="11">
        <v>1680</v>
      </c>
      <c r="G48" s="11"/>
      <c r="H48" s="11"/>
      <c r="I48" s="11"/>
      <c r="J48" s="11"/>
      <c r="K48" s="11"/>
      <c r="L48" s="11"/>
      <c r="M48" s="11"/>
      <c r="N48" s="11"/>
      <c r="O48" s="11"/>
    </row>
    <row r="49" spans="1:15" x14ac:dyDescent="0.35">
      <c r="A49" s="6" t="s">
        <v>46</v>
      </c>
      <c r="B49" s="6" t="s">
        <v>25</v>
      </c>
      <c r="C49" s="10">
        <f t="shared" si="0"/>
        <v>168</v>
      </c>
      <c r="D49" s="11"/>
      <c r="E49" s="11"/>
      <c r="F49" s="11">
        <v>168</v>
      </c>
      <c r="G49" s="11"/>
      <c r="H49" s="11"/>
      <c r="I49" s="11"/>
      <c r="J49" s="11"/>
      <c r="K49" s="11"/>
      <c r="L49" s="11"/>
      <c r="M49" s="11"/>
      <c r="N49" s="11"/>
      <c r="O49" s="11"/>
    </row>
    <row r="50" spans="1:15" x14ac:dyDescent="0.35">
      <c r="A50" s="6" t="s">
        <v>46</v>
      </c>
      <c r="B50" s="6" t="s">
        <v>26</v>
      </c>
      <c r="C50" s="10">
        <f t="shared" si="0"/>
        <v>20</v>
      </c>
      <c r="D50" s="11"/>
      <c r="E50" s="11"/>
      <c r="F50" s="11">
        <v>20</v>
      </c>
      <c r="G50" s="11"/>
      <c r="H50" s="11"/>
      <c r="I50" s="11"/>
      <c r="J50" s="11"/>
      <c r="K50" s="11"/>
      <c r="L50" s="11"/>
      <c r="M50" s="11"/>
      <c r="N50" s="11"/>
      <c r="O50" s="11"/>
    </row>
    <row r="51" spans="1:15" x14ac:dyDescent="0.35">
      <c r="A51" s="6" t="s">
        <v>46</v>
      </c>
      <c r="B51" s="6" t="s">
        <v>27</v>
      </c>
      <c r="C51" s="10">
        <f t="shared" si="0"/>
        <v>20</v>
      </c>
      <c r="D51" s="11"/>
      <c r="E51" s="11"/>
      <c r="F51" s="11">
        <v>20</v>
      </c>
      <c r="G51" s="11"/>
      <c r="H51" s="11"/>
      <c r="I51" s="11"/>
      <c r="J51" s="11"/>
      <c r="K51" s="11"/>
      <c r="L51" s="11"/>
      <c r="M51" s="11"/>
      <c r="N51" s="11"/>
      <c r="O51" s="11"/>
    </row>
    <row r="52" spans="1:15" x14ac:dyDescent="0.35">
      <c r="A52" s="6" t="s">
        <v>46</v>
      </c>
      <c r="B52" s="6" t="s">
        <v>28</v>
      </c>
      <c r="C52" s="10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 x14ac:dyDescent="0.35">
      <c r="A53" s="6" t="s">
        <v>46</v>
      </c>
      <c r="B53" s="6" t="s">
        <v>29</v>
      </c>
      <c r="C53" s="10">
        <f t="shared" si="0"/>
        <v>100</v>
      </c>
      <c r="D53" s="11"/>
      <c r="E53" s="11"/>
      <c r="F53" s="11"/>
      <c r="G53" s="11"/>
      <c r="H53" s="11"/>
      <c r="I53" s="11"/>
      <c r="J53" s="11"/>
      <c r="K53" s="11">
        <v>20</v>
      </c>
      <c r="L53" s="11">
        <v>20</v>
      </c>
      <c r="M53" s="11">
        <v>20</v>
      </c>
      <c r="N53" s="11">
        <v>20</v>
      </c>
      <c r="O53" s="11">
        <v>20</v>
      </c>
    </row>
    <row r="54" spans="1:15" x14ac:dyDescent="0.35">
      <c r="A54" s="6" t="s">
        <v>46</v>
      </c>
      <c r="B54" s="6" t="s">
        <v>47</v>
      </c>
      <c r="C54" s="10">
        <f t="shared" si="0"/>
        <v>280.60000000000002</v>
      </c>
      <c r="D54" s="11"/>
      <c r="E54" s="11"/>
      <c r="F54" s="11"/>
      <c r="G54" s="11">
        <v>180</v>
      </c>
      <c r="H54" s="11"/>
      <c r="I54" s="11">
        <v>70.400000000000006</v>
      </c>
      <c r="J54" s="11">
        <v>5</v>
      </c>
      <c r="K54" s="11">
        <v>5.2</v>
      </c>
      <c r="L54" s="11">
        <v>5</v>
      </c>
      <c r="M54" s="11">
        <v>5</v>
      </c>
      <c r="N54" s="11">
        <v>5</v>
      </c>
      <c r="O54" s="11">
        <v>5</v>
      </c>
    </row>
    <row r="55" spans="1:15" ht="16.2" x14ac:dyDescent="0.4">
      <c r="A55" s="8" t="s">
        <v>46</v>
      </c>
      <c r="B55" s="17" t="s">
        <v>21</v>
      </c>
      <c r="C55" s="18">
        <f>SUM(C47:C54)</f>
        <v>2268.6</v>
      </c>
      <c r="D55" s="18">
        <f t="shared" ref="D55:O55" si="7">SUM(D47:D54)</f>
        <v>0</v>
      </c>
      <c r="E55" s="18">
        <f t="shared" si="7"/>
        <v>0</v>
      </c>
      <c r="F55" s="18">
        <f t="shared" si="7"/>
        <v>1888</v>
      </c>
      <c r="G55" s="18">
        <f t="shared" si="7"/>
        <v>180</v>
      </c>
      <c r="H55" s="18">
        <f t="shared" si="7"/>
        <v>0</v>
      </c>
      <c r="I55" s="18">
        <f t="shared" si="7"/>
        <v>70.400000000000006</v>
      </c>
      <c r="J55" s="18">
        <f t="shared" si="7"/>
        <v>5</v>
      </c>
      <c r="K55" s="18">
        <f t="shared" si="7"/>
        <v>25.2</v>
      </c>
      <c r="L55" s="18">
        <f t="shared" si="7"/>
        <v>25</v>
      </c>
      <c r="M55" s="18">
        <f t="shared" si="7"/>
        <v>25</v>
      </c>
      <c r="N55" s="18">
        <f t="shared" si="7"/>
        <v>25</v>
      </c>
      <c r="O55" s="18">
        <f t="shared" si="7"/>
        <v>25</v>
      </c>
    </row>
    <row r="56" spans="1:15" x14ac:dyDescent="0.35">
      <c r="A56" s="6" t="s">
        <v>48</v>
      </c>
      <c r="B56" s="6" t="s">
        <v>49</v>
      </c>
      <c r="C56" s="10">
        <f t="shared" ref="C56:C58" si="8">SUM(D56:O56)</f>
        <v>36</v>
      </c>
      <c r="D56" s="11">
        <v>3</v>
      </c>
      <c r="E56" s="11">
        <v>3</v>
      </c>
      <c r="F56" s="11">
        <v>3</v>
      </c>
      <c r="G56" s="11">
        <v>3</v>
      </c>
      <c r="H56" s="11">
        <v>3</v>
      </c>
      <c r="I56" s="11">
        <v>3</v>
      </c>
      <c r="J56" s="11">
        <v>3</v>
      </c>
      <c r="K56" s="11">
        <v>3</v>
      </c>
      <c r="L56" s="11">
        <v>3</v>
      </c>
      <c r="M56" s="11">
        <v>3</v>
      </c>
      <c r="N56" s="11">
        <v>3</v>
      </c>
      <c r="O56" s="11">
        <v>3</v>
      </c>
    </row>
    <row r="57" spans="1:15" x14ac:dyDescent="0.35">
      <c r="A57" s="6" t="s">
        <v>48</v>
      </c>
      <c r="B57" s="6" t="s">
        <v>49</v>
      </c>
      <c r="C57" s="10">
        <f t="shared" si="8"/>
        <v>0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x14ac:dyDescent="0.35">
      <c r="A58" s="6" t="s">
        <v>48</v>
      </c>
      <c r="B58" s="6" t="s">
        <v>50</v>
      </c>
      <c r="C58" s="10">
        <f t="shared" si="8"/>
        <v>0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ht="16.2" x14ac:dyDescent="0.4">
      <c r="A59" s="8" t="s">
        <v>48</v>
      </c>
      <c r="B59" s="8" t="s">
        <v>21</v>
      </c>
      <c r="C59" s="18">
        <f t="shared" ref="C59:O59" si="9">SUM(C56:C58)</f>
        <v>36</v>
      </c>
      <c r="D59" s="18">
        <f t="shared" si="9"/>
        <v>3</v>
      </c>
      <c r="E59" s="18">
        <f t="shared" si="9"/>
        <v>3</v>
      </c>
      <c r="F59" s="18">
        <f t="shared" si="9"/>
        <v>3</v>
      </c>
      <c r="G59" s="18">
        <f t="shared" si="9"/>
        <v>3</v>
      </c>
      <c r="H59" s="18">
        <f t="shared" si="9"/>
        <v>3</v>
      </c>
      <c r="I59" s="18">
        <f t="shared" si="9"/>
        <v>3</v>
      </c>
      <c r="J59" s="18">
        <f t="shared" si="9"/>
        <v>3</v>
      </c>
      <c r="K59" s="18">
        <f t="shared" si="9"/>
        <v>3</v>
      </c>
      <c r="L59" s="18">
        <f t="shared" si="9"/>
        <v>3</v>
      </c>
      <c r="M59" s="18">
        <f t="shared" si="9"/>
        <v>3</v>
      </c>
      <c r="N59" s="18">
        <f t="shared" si="9"/>
        <v>3</v>
      </c>
      <c r="O59" s="18">
        <f t="shared" si="9"/>
        <v>3</v>
      </c>
    </row>
    <row r="60" spans="1:15" ht="16.2" x14ac:dyDescent="0.4">
      <c r="A60" s="19" t="s">
        <v>51</v>
      </c>
      <c r="B60" s="6" t="s">
        <v>52</v>
      </c>
      <c r="C60" s="20">
        <f>SUM(D60:O60)</f>
        <v>30</v>
      </c>
      <c r="D60" s="21"/>
      <c r="E60" s="11">
        <v>15</v>
      </c>
      <c r="F60" s="11">
        <v>15</v>
      </c>
      <c r="G60" s="11"/>
      <c r="H60" s="11"/>
      <c r="I60" s="11"/>
      <c r="J60" s="11"/>
      <c r="K60" s="11"/>
      <c r="L60" s="11"/>
      <c r="M60" s="11"/>
      <c r="N60" s="11"/>
      <c r="O60" s="11"/>
    </row>
    <row r="61" spans="1:15" ht="16.2" x14ac:dyDescent="0.4">
      <c r="A61" s="19" t="s">
        <v>51</v>
      </c>
      <c r="B61" s="6" t="s">
        <v>53</v>
      </c>
      <c r="C61" s="20">
        <f t="shared" ref="C61:C63" si="10">SUM(D61:O61)</f>
        <v>75</v>
      </c>
      <c r="D61" s="21"/>
      <c r="E61" s="11"/>
      <c r="F61" s="11"/>
      <c r="G61" s="11"/>
      <c r="H61" s="11"/>
      <c r="I61" s="11"/>
      <c r="J61" s="11"/>
      <c r="K61" s="11"/>
      <c r="L61" s="11"/>
      <c r="M61" s="11">
        <v>75</v>
      </c>
      <c r="N61" s="11"/>
      <c r="O61" s="11"/>
    </row>
    <row r="62" spans="1:15" ht="16.2" x14ac:dyDescent="0.4">
      <c r="A62" s="19" t="s">
        <v>51</v>
      </c>
      <c r="B62" s="6" t="s">
        <v>54</v>
      </c>
      <c r="C62" s="20">
        <f t="shared" si="10"/>
        <v>0</v>
      </c>
      <c r="D62" s="2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 ht="16.2" x14ac:dyDescent="0.4">
      <c r="A63" s="19" t="s">
        <v>51</v>
      </c>
      <c r="B63" s="6" t="s">
        <v>55</v>
      </c>
      <c r="C63" s="20">
        <f t="shared" si="10"/>
        <v>5</v>
      </c>
      <c r="D63" s="22"/>
      <c r="E63" s="11"/>
      <c r="F63" s="11"/>
      <c r="G63" s="11">
        <v>5</v>
      </c>
      <c r="H63" s="11"/>
      <c r="I63" s="11"/>
      <c r="J63" s="11"/>
      <c r="K63" s="11"/>
      <c r="L63" s="11"/>
      <c r="M63" s="11"/>
      <c r="N63" s="11"/>
      <c r="O63" s="11"/>
    </row>
    <row r="64" spans="1:15" ht="16.2" x14ac:dyDescent="0.4">
      <c r="A64" s="8" t="s">
        <v>51</v>
      </c>
      <c r="B64" s="23" t="s">
        <v>21</v>
      </c>
      <c r="C64" s="18">
        <f>SUM(C60:C63)</f>
        <v>110</v>
      </c>
      <c r="D64" s="18">
        <f>SUM(D60:D63)</f>
        <v>0</v>
      </c>
      <c r="E64" s="18">
        <f t="shared" ref="E64:O64" si="11">SUM(E60:E63)</f>
        <v>15</v>
      </c>
      <c r="F64" s="18">
        <f t="shared" si="11"/>
        <v>15</v>
      </c>
      <c r="G64" s="18">
        <f t="shared" si="11"/>
        <v>5</v>
      </c>
      <c r="H64" s="18">
        <f t="shared" si="11"/>
        <v>0</v>
      </c>
      <c r="I64" s="18">
        <f t="shared" si="11"/>
        <v>0</v>
      </c>
      <c r="J64" s="18">
        <f t="shared" si="11"/>
        <v>0</v>
      </c>
      <c r="K64" s="18">
        <f t="shared" si="11"/>
        <v>0</v>
      </c>
      <c r="L64" s="18">
        <f t="shared" si="11"/>
        <v>0</v>
      </c>
      <c r="M64" s="18">
        <f t="shared" si="11"/>
        <v>75</v>
      </c>
      <c r="N64" s="18">
        <f t="shared" si="11"/>
        <v>0</v>
      </c>
      <c r="O64" s="18">
        <f t="shared" si="11"/>
        <v>0</v>
      </c>
    </row>
    <row r="65" spans="1:15" ht="16.2" x14ac:dyDescent="0.4">
      <c r="A65" s="19" t="s">
        <v>56</v>
      </c>
      <c r="B65" s="6" t="s">
        <v>34</v>
      </c>
      <c r="C65" s="20">
        <f>SUM(D65:O65)</f>
        <v>10</v>
      </c>
      <c r="D65" s="11">
        <v>5</v>
      </c>
      <c r="E65" s="11"/>
      <c r="F65" s="11"/>
      <c r="G65" s="11"/>
      <c r="H65" s="11"/>
      <c r="I65" s="11"/>
      <c r="J65" s="11">
        <v>5</v>
      </c>
      <c r="K65" s="11"/>
      <c r="L65" s="11"/>
      <c r="M65" s="11"/>
      <c r="N65" s="11"/>
      <c r="O65" s="11"/>
    </row>
    <row r="66" spans="1:15" ht="16.2" x14ac:dyDescent="0.4">
      <c r="A66" s="19" t="s">
        <v>56</v>
      </c>
      <c r="B66" s="6" t="s">
        <v>35</v>
      </c>
      <c r="C66" s="20">
        <f t="shared" ref="C66:C80" si="12">SUM(D66:O66)</f>
        <v>20</v>
      </c>
      <c r="D66" s="11"/>
      <c r="E66" s="11"/>
      <c r="F66" s="11">
        <v>5</v>
      </c>
      <c r="G66" s="11"/>
      <c r="H66" s="11"/>
      <c r="I66" s="11">
        <v>5</v>
      </c>
      <c r="J66" s="11"/>
      <c r="K66" s="11"/>
      <c r="L66" s="11">
        <v>5</v>
      </c>
      <c r="M66" s="11"/>
      <c r="N66" s="11"/>
      <c r="O66" s="11">
        <v>5</v>
      </c>
    </row>
    <row r="67" spans="1:15" ht="16.2" x14ac:dyDescent="0.4">
      <c r="A67" s="19" t="s">
        <v>56</v>
      </c>
      <c r="B67" s="6" t="s">
        <v>57</v>
      </c>
      <c r="C67" s="20">
        <f t="shared" si="12"/>
        <v>10</v>
      </c>
      <c r="D67" s="11"/>
      <c r="E67" s="11"/>
      <c r="F67" s="11"/>
      <c r="G67" s="11"/>
      <c r="H67" s="11"/>
      <c r="I67" s="11"/>
      <c r="J67" s="11">
        <v>10</v>
      </c>
      <c r="K67" s="11"/>
      <c r="L67" s="11"/>
      <c r="M67" s="11"/>
      <c r="N67" s="11"/>
      <c r="O67" s="11"/>
    </row>
    <row r="68" spans="1:15" ht="16.2" x14ac:dyDescent="0.4">
      <c r="A68" s="19" t="s">
        <v>56</v>
      </c>
      <c r="B68" s="6" t="s">
        <v>36</v>
      </c>
      <c r="C68" s="20">
        <f t="shared" si="12"/>
        <v>43.2</v>
      </c>
      <c r="D68" s="11"/>
      <c r="E68" s="11"/>
      <c r="F68" s="11"/>
      <c r="G68" s="11">
        <v>43.2</v>
      </c>
      <c r="H68" s="11"/>
      <c r="I68" s="11"/>
      <c r="J68" s="11"/>
      <c r="K68" s="11"/>
      <c r="L68" s="11"/>
      <c r="M68" s="11"/>
      <c r="N68" s="11"/>
      <c r="O68" s="11"/>
    </row>
    <row r="69" spans="1:15" ht="16.2" x14ac:dyDescent="0.4">
      <c r="A69" s="19" t="s">
        <v>56</v>
      </c>
      <c r="B69" s="6" t="s">
        <v>58</v>
      </c>
      <c r="C69" s="20">
        <f t="shared" si="12"/>
        <v>0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 ht="16.2" x14ac:dyDescent="0.4">
      <c r="A70" s="8" t="s">
        <v>56</v>
      </c>
      <c r="B70" s="23" t="s">
        <v>21</v>
      </c>
      <c r="C70" s="18">
        <f t="shared" si="12"/>
        <v>83.2</v>
      </c>
      <c r="D70" s="18">
        <f>SUM(D65:D69)</f>
        <v>5</v>
      </c>
      <c r="E70" s="18">
        <f t="shared" ref="E70:O70" si="13">SUM(E65:E69)</f>
        <v>0</v>
      </c>
      <c r="F70" s="18">
        <f t="shared" si="13"/>
        <v>5</v>
      </c>
      <c r="G70" s="18">
        <f t="shared" si="13"/>
        <v>43.2</v>
      </c>
      <c r="H70" s="18">
        <f t="shared" si="13"/>
        <v>0</v>
      </c>
      <c r="I70" s="18">
        <f t="shared" si="13"/>
        <v>5</v>
      </c>
      <c r="J70" s="18">
        <f t="shared" si="13"/>
        <v>15</v>
      </c>
      <c r="K70" s="18">
        <f t="shared" si="13"/>
        <v>0</v>
      </c>
      <c r="L70" s="18">
        <f t="shared" si="13"/>
        <v>5</v>
      </c>
      <c r="M70" s="18">
        <f t="shared" si="13"/>
        <v>0</v>
      </c>
      <c r="N70" s="18">
        <f t="shared" si="13"/>
        <v>0</v>
      </c>
      <c r="O70" s="18">
        <f t="shared" si="13"/>
        <v>5</v>
      </c>
    </row>
    <row r="71" spans="1:15" ht="16.2" x14ac:dyDescent="0.4">
      <c r="A71" s="19" t="s">
        <v>59</v>
      </c>
      <c r="B71" s="6" t="s">
        <v>60</v>
      </c>
      <c r="C71" s="20">
        <f t="shared" si="12"/>
        <v>10</v>
      </c>
      <c r="D71" s="22"/>
      <c r="E71" s="22"/>
      <c r="F71" s="11">
        <v>10</v>
      </c>
      <c r="G71" s="11"/>
      <c r="H71" s="11"/>
      <c r="I71" s="11"/>
      <c r="J71" s="11"/>
      <c r="K71" s="11"/>
      <c r="L71" s="11"/>
      <c r="M71" s="11"/>
      <c r="N71" s="11"/>
      <c r="O71" s="11"/>
    </row>
    <row r="72" spans="1:15" ht="16.2" x14ac:dyDescent="0.4">
      <c r="A72" s="19" t="s">
        <v>59</v>
      </c>
      <c r="B72" s="6" t="s">
        <v>61</v>
      </c>
      <c r="C72" s="20">
        <f t="shared" si="12"/>
        <v>50</v>
      </c>
      <c r="D72" s="22"/>
      <c r="E72" s="22"/>
      <c r="F72" s="11"/>
      <c r="G72" s="11"/>
      <c r="H72" s="11"/>
      <c r="I72" s="11"/>
      <c r="J72" s="11">
        <v>50</v>
      </c>
      <c r="K72" s="11"/>
      <c r="L72" s="11"/>
      <c r="M72" s="11"/>
      <c r="N72" s="11"/>
      <c r="O72" s="11"/>
    </row>
    <row r="73" spans="1:15" ht="16.2" x14ac:dyDescent="0.4">
      <c r="A73" s="19" t="s">
        <v>59</v>
      </c>
      <c r="B73" s="6" t="s">
        <v>24</v>
      </c>
      <c r="C73" s="20">
        <f t="shared" si="12"/>
        <v>50</v>
      </c>
      <c r="D73" s="22"/>
      <c r="E73" s="22"/>
      <c r="F73" s="11">
        <v>25</v>
      </c>
      <c r="G73" s="11"/>
      <c r="H73" s="11"/>
      <c r="I73" s="11">
        <v>15</v>
      </c>
      <c r="J73" s="11"/>
      <c r="K73" s="11"/>
      <c r="L73" s="11">
        <v>5</v>
      </c>
      <c r="M73" s="11"/>
      <c r="N73" s="11"/>
      <c r="O73" s="11">
        <v>5</v>
      </c>
    </row>
    <row r="74" spans="1:15" ht="16.2" x14ac:dyDescent="0.4">
      <c r="A74" s="19" t="s">
        <v>59</v>
      </c>
      <c r="B74" s="6" t="s">
        <v>55</v>
      </c>
      <c r="C74" s="20">
        <f t="shared" si="12"/>
        <v>5</v>
      </c>
      <c r="D74" s="22"/>
      <c r="E74" s="22"/>
      <c r="F74" s="11"/>
      <c r="G74" s="11"/>
      <c r="H74" s="11"/>
      <c r="I74" s="11"/>
      <c r="J74" s="11"/>
      <c r="K74" s="11"/>
      <c r="L74" s="11"/>
      <c r="M74" s="11"/>
      <c r="N74" s="11"/>
      <c r="O74" s="11">
        <v>5</v>
      </c>
    </row>
    <row r="75" spans="1:15" ht="16.2" x14ac:dyDescent="0.4">
      <c r="A75" s="19" t="s">
        <v>59</v>
      </c>
      <c r="B75" s="6" t="s">
        <v>16</v>
      </c>
      <c r="C75" s="20">
        <f t="shared" si="12"/>
        <v>80</v>
      </c>
      <c r="D75" s="22"/>
      <c r="E75" s="22"/>
      <c r="F75" s="11"/>
      <c r="G75" s="11"/>
      <c r="H75" s="11"/>
      <c r="I75" s="11">
        <v>40</v>
      </c>
      <c r="J75" s="11"/>
      <c r="K75" s="11"/>
      <c r="L75" s="11">
        <v>20</v>
      </c>
      <c r="M75" s="11"/>
      <c r="N75" s="11"/>
      <c r="O75" s="11">
        <v>20</v>
      </c>
    </row>
    <row r="76" spans="1:15" ht="16.2" x14ac:dyDescent="0.4">
      <c r="A76" s="19" t="s">
        <v>59</v>
      </c>
      <c r="B76" s="6" t="s">
        <v>43</v>
      </c>
      <c r="C76" s="20">
        <f t="shared" si="12"/>
        <v>150</v>
      </c>
      <c r="D76" s="22"/>
      <c r="E76" s="22"/>
      <c r="F76" s="11">
        <v>105</v>
      </c>
      <c r="G76" s="11"/>
      <c r="H76" s="11"/>
      <c r="I76" s="11">
        <v>30</v>
      </c>
      <c r="J76" s="11">
        <v>15</v>
      </c>
      <c r="K76" s="11"/>
      <c r="L76" s="11"/>
      <c r="M76" s="11"/>
      <c r="N76" s="11"/>
      <c r="O76" s="11"/>
    </row>
    <row r="77" spans="1:15" ht="16.2" x14ac:dyDescent="0.4">
      <c r="A77" s="19" t="s">
        <v>59</v>
      </c>
      <c r="B77" s="6" t="s">
        <v>35</v>
      </c>
      <c r="C77" s="20">
        <f t="shared" si="12"/>
        <v>5</v>
      </c>
      <c r="D77" s="22"/>
      <c r="E77" s="22"/>
      <c r="F77" s="11"/>
      <c r="G77" s="11"/>
      <c r="H77" s="11"/>
      <c r="I77" s="11"/>
      <c r="J77" s="11"/>
      <c r="K77" s="11"/>
      <c r="L77" s="11">
        <v>5</v>
      </c>
      <c r="M77" s="11"/>
      <c r="N77" s="11"/>
      <c r="O77" s="11"/>
    </row>
    <row r="78" spans="1:15" ht="16.2" x14ac:dyDescent="0.4">
      <c r="A78" s="19" t="s">
        <v>59</v>
      </c>
      <c r="B78" s="6" t="s">
        <v>45</v>
      </c>
      <c r="C78" s="20">
        <f t="shared" si="12"/>
        <v>50</v>
      </c>
      <c r="D78" s="22"/>
      <c r="E78" s="22"/>
      <c r="F78" s="11">
        <v>20</v>
      </c>
      <c r="G78" s="11"/>
      <c r="H78" s="11"/>
      <c r="I78" s="11">
        <v>15</v>
      </c>
      <c r="J78" s="11"/>
      <c r="K78" s="11"/>
      <c r="L78" s="11">
        <v>15</v>
      </c>
      <c r="M78" s="11"/>
      <c r="N78" s="11"/>
      <c r="O78" s="11"/>
    </row>
    <row r="79" spans="1:15" ht="16.2" x14ac:dyDescent="0.4">
      <c r="A79" s="19" t="s">
        <v>59</v>
      </c>
      <c r="B79" s="6" t="s">
        <v>62</v>
      </c>
      <c r="C79" s="20">
        <f t="shared" si="12"/>
        <v>20.149999999999999</v>
      </c>
      <c r="D79" s="24"/>
      <c r="E79" s="24"/>
      <c r="F79" s="25">
        <v>10</v>
      </c>
      <c r="G79" s="25"/>
      <c r="H79" s="25">
        <v>10</v>
      </c>
      <c r="I79" s="25">
        <v>0.15</v>
      </c>
      <c r="J79" s="25"/>
      <c r="K79" s="25"/>
      <c r="L79" s="25"/>
      <c r="M79" s="25"/>
      <c r="N79" s="25"/>
      <c r="O79" s="25"/>
    </row>
    <row r="80" spans="1:15" ht="16.2" x14ac:dyDescent="0.4">
      <c r="A80" s="8" t="s">
        <v>59</v>
      </c>
      <c r="B80" s="23" t="s">
        <v>21</v>
      </c>
      <c r="C80" s="18">
        <f t="shared" si="12"/>
        <v>420.15</v>
      </c>
      <c r="D80" s="18">
        <f>SUM(D71:D79)</f>
        <v>0</v>
      </c>
      <c r="E80" s="18">
        <f t="shared" ref="E80:O80" si="14">SUM(E71:E79)</f>
        <v>0</v>
      </c>
      <c r="F80" s="18">
        <f t="shared" si="14"/>
        <v>170</v>
      </c>
      <c r="G80" s="18">
        <f t="shared" si="14"/>
        <v>0</v>
      </c>
      <c r="H80" s="18">
        <f t="shared" si="14"/>
        <v>10</v>
      </c>
      <c r="I80" s="18">
        <f t="shared" si="14"/>
        <v>100.15</v>
      </c>
      <c r="J80" s="18">
        <f t="shared" si="14"/>
        <v>65</v>
      </c>
      <c r="K80" s="18">
        <f t="shared" si="14"/>
        <v>0</v>
      </c>
      <c r="L80" s="18">
        <f t="shared" si="14"/>
        <v>45</v>
      </c>
      <c r="M80" s="18">
        <f t="shared" si="14"/>
        <v>0</v>
      </c>
      <c r="N80" s="18">
        <f t="shared" si="14"/>
        <v>0</v>
      </c>
      <c r="O80" s="18">
        <f t="shared" si="14"/>
        <v>30</v>
      </c>
    </row>
    <row r="81" spans="1:15" ht="16.2" x14ac:dyDescent="0.4">
      <c r="A81" s="8" t="s">
        <v>63</v>
      </c>
      <c r="B81" s="8" t="s">
        <v>64</v>
      </c>
      <c r="C81" s="26">
        <f t="shared" ref="C81:O81" si="15">C7+C13+C21+C29+C40+C46+C55+C59+C64+C70+C80</f>
        <v>23344.95</v>
      </c>
      <c r="D81" s="26">
        <f t="shared" si="15"/>
        <v>508</v>
      </c>
      <c r="E81" s="26">
        <f t="shared" si="15"/>
        <v>548</v>
      </c>
      <c r="F81" s="26">
        <f t="shared" si="15"/>
        <v>2644</v>
      </c>
      <c r="G81" s="26">
        <f t="shared" si="15"/>
        <v>731.2</v>
      </c>
      <c r="H81" s="26">
        <f t="shared" si="15"/>
        <v>1809</v>
      </c>
      <c r="I81" s="26">
        <f t="shared" si="15"/>
        <v>1714.5500000000002</v>
      </c>
      <c r="J81" s="26">
        <f t="shared" si="15"/>
        <v>662</v>
      </c>
      <c r="K81" s="26">
        <f t="shared" si="15"/>
        <v>3837.2</v>
      </c>
      <c r="L81" s="26">
        <f t="shared" si="15"/>
        <v>2995</v>
      </c>
      <c r="M81" s="26">
        <f t="shared" si="15"/>
        <v>3050</v>
      </c>
      <c r="N81" s="26">
        <f t="shared" si="15"/>
        <v>1179</v>
      </c>
      <c r="O81" s="26">
        <f t="shared" si="15"/>
        <v>3667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张堂洲</dc:creator>
  <cp:lastModifiedBy>xin liu</cp:lastModifiedBy>
  <dcterms:created xsi:type="dcterms:W3CDTF">2015-06-05T18:19:34Z</dcterms:created>
  <dcterms:modified xsi:type="dcterms:W3CDTF">2026-05-29T02:05:19Z</dcterms:modified>
</cp:coreProperties>
</file>
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ener\Desktop\财务资料\财务报表\3.上海丰华天力通\往来汇总\"/>
    </mc:Choice>
  </mc:AlternateContent>
  <xr:revisionPtr revIDLastSave="0" documentId="13_ncr:1_{50486C6B-2ACD-4DCE-97F7-DEF1CC15237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预付账款" sheetId="7" r:id="rId1"/>
    <sheet name="应付账款" sheetId="6" r:id="rId2"/>
    <sheet name="其他应收" sheetId="5" r:id="rId3"/>
    <sheet name="其他应付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" i="4" l="1"/>
  <c r="L29" i="4" s="1"/>
  <c r="K28" i="4"/>
  <c r="L28" i="4" s="1"/>
  <c r="K27" i="4"/>
  <c r="L27" i="4" s="1"/>
  <c r="K26" i="4"/>
  <c r="L26" i="4" s="1"/>
  <c r="K25" i="4"/>
  <c r="L25" i="4" s="1"/>
  <c r="K24" i="4"/>
  <c r="L24" i="4" s="1"/>
  <c r="K23" i="4"/>
  <c r="L23" i="4" s="1"/>
  <c r="K22" i="4"/>
  <c r="L22" i="4" s="1"/>
  <c r="K21" i="4"/>
  <c r="L21" i="4" s="1"/>
  <c r="K20" i="4"/>
  <c r="L20" i="4" s="1"/>
  <c r="K19" i="4"/>
  <c r="L19" i="4" s="1"/>
  <c r="K18" i="4"/>
  <c r="L18" i="4" s="1"/>
  <c r="K17" i="4"/>
  <c r="L17" i="4" s="1"/>
  <c r="K16" i="4"/>
  <c r="L16" i="4" s="1"/>
  <c r="K15" i="4"/>
  <c r="L15" i="4" s="1"/>
  <c r="K14" i="4"/>
  <c r="L14" i="4" s="1"/>
  <c r="K13" i="4"/>
  <c r="L13" i="4" s="1"/>
  <c r="K12" i="4"/>
  <c r="L12" i="4" s="1"/>
  <c r="K11" i="4"/>
  <c r="L11" i="4" s="1"/>
  <c r="K10" i="4"/>
  <c r="L10" i="4" s="1"/>
  <c r="K9" i="4"/>
  <c r="L9" i="4" s="1"/>
  <c r="K8" i="4"/>
  <c r="L8" i="4" s="1"/>
  <c r="K7" i="4"/>
  <c r="K6" i="4"/>
  <c r="L6" i="4" s="1"/>
  <c r="K5" i="4"/>
  <c r="L5" i="4" s="1"/>
  <c r="K4" i="4"/>
  <c r="L4" i="4" s="1"/>
  <c r="K3" i="4"/>
  <c r="L3" i="4" s="1"/>
  <c r="K2" i="4"/>
  <c r="L2" i="4" s="1"/>
  <c r="L11" i="5"/>
  <c r="K11" i="5"/>
  <c r="K10" i="5"/>
  <c r="L10" i="5" s="1"/>
  <c r="L9" i="5"/>
  <c r="K9" i="5"/>
  <c r="K8" i="5"/>
  <c r="L8" i="5" s="1"/>
  <c r="K7" i="5"/>
  <c r="L7" i="5" s="1"/>
  <c r="K6" i="5"/>
  <c r="L6" i="5" s="1"/>
  <c r="K5" i="5"/>
  <c r="L5" i="5" s="1"/>
  <c r="K4" i="5"/>
  <c r="L4" i="5" s="1"/>
  <c r="K3" i="5"/>
  <c r="L3" i="5" s="1"/>
  <c r="K2" i="5"/>
  <c r="L2" i="5" s="1"/>
  <c r="J33" i="6"/>
  <c r="K33" i="6" s="1"/>
  <c r="J32" i="6"/>
  <c r="K32" i="6" s="1"/>
  <c r="J31" i="6"/>
  <c r="K31" i="6" s="1"/>
  <c r="J30" i="6"/>
  <c r="K30" i="6" s="1"/>
  <c r="J29" i="6"/>
  <c r="K29" i="6" s="1"/>
  <c r="J28" i="6"/>
  <c r="K28" i="6" s="1"/>
  <c r="J27" i="6"/>
  <c r="K27" i="6" s="1"/>
  <c r="J26" i="6"/>
  <c r="K26" i="6" s="1"/>
  <c r="J25" i="6"/>
  <c r="K25" i="6" s="1"/>
  <c r="J24" i="6"/>
  <c r="K24" i="6" s="1"/>
  <c r="J23" i="6"/>
  <c r="K23" i="6" s="1"/>
  <c r="J22" i="6"/>
  <c r="K22" i="6" s="1"/>
  <c r="J21" i="6"/>
  <c r="K21" i="6" s="1"/>
  <c r="J20" i="6"/>
  <c r="K20" i="6" s="1"/>
  <c r="J19" i="6"/>
  <c r="K19" i="6" s="1"/>
  <c r="J18" i="6"/>
  <c r="K18" i="6" s="1"/>
  <c r="J17" i="6"/>
  <c r="K17" i="6" s="1"/>
  <c r="J16" i="6"/>
  <c r="K16" i="6" s="1"/>
  <c r="J15" i="6"/>
  <c r="K15" i="6" s="1"/>
  <c r="J14" i="6"/>
  <c r="K14" i="6" s="1"/>
  <c r="J13" i="6"/>
  <c r="K13" i="6" s="1"/>
  <c r="J12" i="6"/>
  <c r="K12" i="6" s="1"/>
  <c r="J11" i="6"/>
  <c r="K11" i="6" s="1"/>
  <c r="J10" i="6"/>
  <c r="K10" i="6" s="1"/>
  <c r="J9" i="6"/>
  <c r="K9" i="6" s="1"/>
  <c r="J8" i="6"/>
  <c r="K8" i="6" s="1"/>
  <c r="J7" i="6"/>
  <c r="K7" i="6" s="1"/>
  <c r="J6" i="6"/>
  <c r="K6" i="6" s="1"/>
  <c r="J5" i="6"/>
  <c r="K5" i="6" s="1"/>
  <c r="J4" i="6"/>
  <c r="J5" i="7" s="1"/>
  <c r="J3" i="6"/>
  <c r="K3" i="6" s="1"/>
  <c r="J2" i="6"/>
  <c r="K2" i="6" s="1"/>
  <c r="K4" i="7"/>
  <c r="K3" i="7"/>
  <c r="K2" i="7"/>
  <c r="K30" i="4" l="1"/>
  <c r="L30" i="4" s="1"/>
  <c r="K12" i="5"/>
  <c r="L12" i="5" s="1"/>
  <c r="L13" i="5" s="1"/>
  <c r="L15" i="5" s="1"/>
  <c r="L7" i="4"/>
  <c r="L31" i="4" s="1"/>
  <c r="K4" i="6"/>
  <c r="K34" i="6" s="1"/>
  <c r="K5" i="7"/>
  <c r="K6" i="7" s="1"/>
</calcChain>
</file>

<file path=xl/sharedStrings.xml><?xml version="1.0" encoding="utf-8"?>
<sst xmlns="http://schemas.openxmlformats.org/spreadsheetml/2006/main" count="452" uniqueCount="174">
  <si>
    <t>科目名称</t>
  </si>
  <si>
    <t>供应商编号</t>
  </si>
  <si>
    <t>供应商名称</t>
  </si>
  <si>
    <t>方向4</t>
  </si>
  <si>
    <t>期初余额本币</t>
  </si>
  <si>
    <t>借方本币</t>
  </si>
  <si>
    <t>贷方本币</t>
  </si>
  <si>
    <t>方向20</t>
  </si>
  <si>
    <t>期末余额本币</t>
  </si>
  <si>
    <t>重分类</t>
  </si>
  <si>
    <t>报表金额</t>
  </si>
  <si>
    <t>预付账款</t>
  </si>
  <si>
    <t>0006</t>
  </si>
  <si>
    <t>上海国际医学园区管理有限公司</t>
  </si>
  <si>
    <t>平</t>
  </si>
  <si>
    <t>借</t>
  </si>
  <si>
    <t>0148</t>
  </si>
  <si>
    <t>上海中油上中油气站有限公司</t>
  </si>
  <si>
    <t>0151</t>
  </si>
  <si>
    <t>上海仪电科学仪器股份有限公司</t>
  </si>
  <si>
    <t>应付账款</t>
  </si>
  <si>
    <t>0001</t>
  </si>
  <si>
    <t>上海艾力斯生物医药有限公司</t>
  </si>
  <si>
    <t>贷</t>
  </si>
  <si>
    <t>0002</t>
  </si>
  <si>
    <t>上海天迹洁净工程科技有限公司</t>
  </si>
  <si>
    <t>0021</t>
  </si>
  <si>
    <t>上海申南特种气体有限公司</t>
  </si>
  <si>
    <t>0024</t>
  </si>
  <si>
    <t>龙慧</t>
  </si>
  <si>
    <t>0025</t>
  </si>
  <si>
    <t>上海溢林园林景观有限公司</t>
  </si>
  <si>
    <t>0031</t>
  </si>
  <si>
    <t>盐城光芒仪器有限公司</t>
  </si>
  <si>
    <t>0043</t>
  </si>
  <si>
    <t>上海泰坦科技股份有限公司</t>
  </si>
  <si>
    <t>0048</t>
  </si>
  <si>
    <t>上海杰星生物科技有限公司</t>
  </si>
  <si>
    <t>0055</t>
  </si>
  <si>
    <t>山东省科学院生物研究所</t>
  </si>
  <si>
    <t>0060</t>
  </si>
  <si>
    <t>ETC账户</t>
  </si>
  <si>
    <t>0063</t>
  </si>
  <si>
    <t>生工生物工程（上海）股份有限公司</t>
  </si>
  <si>
    <t>0064</t>
  </si>
  <si>
    <t>上海客熠餐饮管理有限公司</t>
  </si>
  <si>
    <t>0067</t>
  </si>
  <si>
    <t>国家知识产权局专利局南京代办处</t>
  </si>
  <si>
    <t>0080</t>
  </si>
  <si>
    <t>盐城市同舟智能工程有限公司</t>
  </si>
  <si>
    <t>0082</t>
  </si>
  <si>
    <t>上海市张江高科技园</t>
  </si>
  <si>
    <t>0084</t>
  </si>
  <si>
    <t>中国石油天然气股份有限公司上海销售分公司</t>
  </si>
  <si>
    <t>0085</t>
  </si>
  <si>
    <t>普研（上海）标准技术服务有限公司</t>
  </si>
  <si>
    <t>0086</t>
  </si>
  <si>
    <t>药企云科技（广州）有限公司</t>
  </si>
  <si>
    <t>0087</t>
  </si>
  <si>
    <t>上海昨非实验室设备有限公司</t>
  </si>
  <si>
    <t>0089</t>
  </si>
  <si>
    <t>上海长盈环保服务有限公司</t>
  </si>
  <si>
    <t>0123</t>
  </si>
  <si>
    <t>上海沪震实业有限公司</t>
  </si>
  <si>
    <t>0126</t>
  </si>
  <si>
    <t>北京擎科生物科技股份有限公司上海分公司</t>
  </si>
  <si>
    <t>0135</t>
  </si>
  <si>
    <t>上海张江智能电力发展有限公司</t>
  </si>
  <si>
    <t>0149</t>
  </si>
  <si>
    <t>河北银聘企业管理咨询有限公司</t>
  </si>
  <si>
    <t>0150</t>
  </si>
  <si>
    <t>北京柯灵梅尔医药科技有限公司</t>
  </si>
  <si>
    <t>部门编码</t>
  </si>
  <si>
    <t>部门名称</t>
  </si>
  <si>
    <t>个人编码</t>
  </si>
  <si>
    <t>个人名称</t>
  </si>
  <si>
    <t>期初余额</t>
  </si>
  <si>
    <t>本期借方发生</t>
  </si>
  <si>
    <t>本期贷方发生</t>
  </si>
  <si>
    <t>方向8</t>
  </si>
  <si>
    <t>期末余额</t>
  </si>
  <si>
    <t>122101</t>
  </si>
  <si>
    <t>其他应收款-单位</t>
  </si>
  <si>
    <t>0003</t>
  </si>
  <si>
    <t>ECT保证金</t>
  </si>
  <si>
    <t>0007</t>
  </si>
  <si>
    <t>江苏丰华生物制药有限公司</t>
  </si>
  <si>
    <t>0008</t>
  </si>
  <si>
    <t>丰华悦通国际医药科技有</t>
  </si>
  <si>
    <t>0009</t>
  </si>
  <si>
    <t>0013</t>
  </si>
  <si>
    <t>刘毅</t>
  </si>
  <si>
    <t>0014</t>
  </si>
  <si>
    <t>01</t>
  </si>
  <si>
    <t>办公室</t>
  </si>
  <si>
    <t>F007</t>
  </si>
  <si>
    <t>崔文馨</t>
  </si>
  <si>
    <t>F008</t>
  </si>
  <si>
    <t>朱鹏亮</t>
  </si>
  <si>
    <t>F010</t>
  </si>
  <si>
    <t>凌晓芬</t>
  </si>
  <si>
    <t>原值</t>
  </si>
  <si>
    <t>坏账准备</t>
  </si>
  <si>
    <t>净值</t>
  </si>
  <si>
    <t>报表数额</t>
  </si>
  <si>
    <t>224101</t>
  </si>
  <si>
    <t>其他应付款-单位</t>
  </si>
  <si>
    <t>0039</t>
  </si>
  <si>
    <t>李孟良</t>
  </si>
  <si>
    <t>0093</t>
  </si>
  <si>
    <t>社保</t>
  </si>
  <si>
    <t>0094</t>
  </si>
  <si>
    <t>公积金</t>
  </si>
  <si>
    <t>0095</t>
  </si>
  <si>
    <t>华为软件技术有限公司</t>
  </si>
  <si>
    <t>0096</t>
  </si>
  <si>
    <t>深圳市腾讯计算机系统有限公司</t>
  </si>
  <si>
    <t>0098</t>
  </si>
  <si>
    <t>0132</t>
  </si>
  <si>
    <t>工会经费</t>
  </si>
  <si>
    <t>12</t>
  </si>
  <si>
    <t>王睿睿</t>
  </si>
  <si>
    <t>F003</t>
  </si>
  <si>
    <t>蒋套成</t>
  </si>
  <si>
    <t>F009</t>
  </si>
  <si>
    <t>董玮</t>
  </si>
  <si>
    <t>F011</t>
  </si>
  <si>
    <t>卫田</t>
  </si>
  <si>
    <t>F015</t>
  </si>
  <si>
    <t>花亚东</t>
  </si>
  <si>
    <t>F016</t>
  </si>
  <si>
    <t>张慧敏</t>
  </si>
  <si>
    <t>F019</t>
  </si>
  <si>
    <t>张洪峰</t>
  </si>
  <si>
    <t>F021</t>
  </si>
  <si>
    <t>付凡</t>
  </si>
  <si>
    <t>F022</t>
  </si>
  <si>
    <t>张爱琴</t>
  </si>
  <si>
    <t>02</t>
  </si>
  <si>
    <t>财经部</t>
  </si>
  <si>
    <t>CJ0001</t>
  </si>
  <si>
    <t>张宇凡</t>
  </si>
  <si>
    <t>CJ0005</t>
  </si>
  <si>
    <t>钱瀚卿</t>
  </si>
  <si>
    <t>03</t>
  </si>
  <si>
    <t>研发事业部</t>
  </si>
  <si>
    <t>YF0001</t>
  </si>
  <si>
    <t>许辰华</t>
  </si>
  <si>
    <t>YF0004</t>
  </si>
  <si>
    <t>张文学</t>
  </si>
  <si>
    <t>04</t>
  </si>
  <si>
    <t>法务部</t>
  </si>
  <si>
    <t>FW0001</t>
  </si>
  <si>
    <t>顾兵</t>
  </si>
  <si>
    <t>05</t>
  </si>
  <si>
    <t>销售部</t>
  </si>
  <si>
    <t>XS001</t>
  </si>
  <si>
    <t>崔进</t>
  </si>
  <si>
    <t>0054</t>
  </si>
  <si>
    <t>和元李记（上海）生物技术有限公司</t>
  </si>
  <si>
    <t>0116</t>
  </si>
  <si>
    <t>南京金斯瑞生物科技有限公司</t>
  </si>
  <si>
    <t>0136</t>
  </si>
  <si>
    <t>上海谦岩知识产权代理有限公司</t>
  </si>
  <si>
    <t>0156</t>
  </si>
  <si>
    <t>上海兆维科技发展有限公司</t>
  </si>
  <si>
    <t>0157</t>
  </si>
  <si>
    <t>艾里奥斯生物科技（上海）有限公司</t>
  </si>
  <si>
    <t>0158</t>
  </si>
  <si>
    <t>天健企业咨询有限公司上海分公司</t>
  </si>
  <si>
    <t>0159</t>
  </si>
  <si>
    <t>上海乾和万泰生物技术有限公司</t>
  </si>
  <si>
    <t>XS002</t>
  </si>
  <si>
    <t>尹宏宇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</si>
</sst>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7" formatCode="&quot;¥&quot;#,##0.00;&quot;¥&quot;\-#,##0.00"/>
    <numFmt numFmtId="43" formatCode="_ * #,##0.00_ ;_ * \-#,##0.00_ ;_ * &quot;-&quot;??_ ;_ @_ "/>
    <numFmt numFmtId="176" formatCode="&quot;￥&quot;#,##0.00;&quot;￥&quot;\-#,##0.00"/>
    <numFmt numFmtId="177" formatCode="&quot;￥&quot;#,##0.00_);[Red]\(&quot;￥&quot;#,##0.00\)"/>
  </numFmts>
  <fonts count="8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sz val="10"/>
      <name val="MS Sans Serif"/>
    </font>
    <font>
      <sz val="10"/>
      <name val="MS Sans Serif"/>
      <family val="2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19">
    <xf numFmtId="0" fontId="0" fillId="0" borderId="0" xfId="0">
      <alignment vertical="center"/>
    </xf>
    <xf numFmtId="177" fontId="1" fillId="0" borderId="0" xfId="0" applyNumberFormat="1" applyFont="1" applyAlignment="1"/>
    <xf numFmtId="177" fontId="1" fillId="0" borderId="0" xfId="1" applyNumberFormat="1" applyFont="1" applyFill="1" applyAlignment="1"/>
    <xf numFmtId="177" fontId="2" fillId="0" borderId="0" xfId="5" applyNumberFormat="1" applyFont="1">
      <alignment vertical="center"/>
    </xf>
    <xf numFmtId="177" fontId="2" fillId="0" borderId="0" xfId="1" applyNumberFormat="1" applyFont="1" applyFill="1">
      <alignment vertical="center"/>
    </xf>
    <xf numFmtId="176" fontId="3" fillId="0" borderId="0" xfId="0" applyNumberFormat="1" applyFont="1" applyAlignment="1"/>
    <xf numFmtId="177" fontId="1" fillId="0" borderId="0" xfId="1" applyNumberFormat="1" applyFont="1" applyAlignment="1"/>
    <xf numFmtId="177" fontId="4" fillId="0" borderId="0" xfId="0" applyNumberFormat="1" applyFont="1">
      <alignment vertical="center"/>
    </xf>
    <xf numFmtId="177" fontId="2" fillId="0" borderId="0" xfId="2" applyNumberFormat="1" applyFont="1">
      <alignment vertical="center"/>
    </xf>
    <xf numFmtId="177" fontId="5" fillId="0" borderId="0" xfId="0" applyNumberFormat="1" applyFont="1" applyAlignment="1">
      <alignment horizontal="center"/>
    </xf>
    <xf numFmtId="177" fontId="4" fillId="0" borderId="0" xfId="0" applyNumberFormat="1" applyFont="1" applyAlignment="1"/>
    <xf numFmtId="177" fontId="5" fillId="0" borderId="0" xfId="0" applyNumberFormat="1" applyFont="1" applyAlignment="1"/>
    <xf numFmtId="177" fontId="5" fillId="0" borderId="0" xfId="1" applyNumberFormat="1" applyFont="1" applyAlignment="1"/>
    <xf numFmtId="177" fontId="2" fillId="0" borderId="0" xfId="4" applyNumberFormat="1" applyFont="1" applyAlignment="1">
      <alignment horizontal="center" vertical="center"/>
    </xf>
    <xf numFmtId="177" fontId="2" fillId="0" borderId="0" xfId="1" applyNumberFormat="1" applyFont="1" applyAlignment="1">
      <alignment horizontal="center" vertical="center"/>
    </xf>
    <xf numFmtId="177" fontId="5" fillId="0" borderId="0" xfId="1" applyNumberFormat="1" applyFont="1" applyAlignment="1">
      <alignment horizontal="center"/>
    </xf>
    <xf numFmtId="177" fontId="2" fillId="0" borderId="0" xfId="1" applyNumberFormat="1" applyFont="1">
      <alignment vertical="center"/>
    </xf>
    <xf numFmtId="0" fontId="0" fillId="0" borderId="0" xfId="0" applyAlignment="1"/>
    <xf numFmtId="7" fontId="0" fillId="0" borderId="0" xfId="0" applyNumberFormat="1" applyAlignment="1"/>
  </cellXfs>
  <cellStyles count="6">
    <cellStyle name="常规" xfId="0" builtinId="0"/>
    <cellStyle name="常规 3" xfId="3" xr:uid="{00000000-0005-0000-0000-000032000000}"/>
    <cellStyle name="常规_Sheet1" xfId="4" xr:uid="{00000000-0005-0000-0000-000033000000}"/>
    <cellStyle name="常规_Sheet2" xfId="2" xr:uid="{00000000-0005-0000-0000-000031000000}"/>
    <cellStyle name="常规_Sheet3" xfId="5" xr:uid="{00000000-0005-0000-0000-000036000000}"/>
    <cellStyle name="千位分隔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workbookViewId="0">
      <selection activeCell="K16" sqref="K16"/>
    </sheetView>
  </sheetViews>
  <sheetFormatPr defaultColWidth="8.88671875" defaultRowHeight="14.4" x14ac:dyDescent="0.25"/>
  <cols>
    <col min="5" max="5" width="12.21875" customWidth="1"/>
    <col min="6" max="6" width="13" customWidth="1"/>
    <col min="7" max="7" width="13.77734375" customWidth="1"/>
    <col min="9" max="9" width="12.5546875" customWidth="1"/>
    <col min="10" max="10" width="12.88671875" customWidth="1"/>
    <col min="11" max="11" width="12.6640625" customWidth="1"/>
  </cols>
  <sheetData>
    <row r="1" spans="1:11" s="9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9" t="s">
        <v>10</v>
      </c>
    </row>
    <row r="2" spans="1:11" x14ac:dyDescent="0.25">
      <c r="A2" s="17" t="s">
        <v>11</v>
      </c>
      <c r="B2" s="17" t="s">
        <v>12</v>
      </c>
      <c r="C2" s="17" t="s">
        <v>13</v>
      </c>
      <c r="D2" s="17" t="s">
        <v>15</v>
      </c>
      <c r="E2" s="18">
        <v>7200</v>
      </c>
      <c r="F2" s="18">
        <v>0</v>
      </c>
      <c r="G2" s="18">
        <v>0</v>
      </c>
      <c r="H2" s="17" t="s">
        <v>15</v>
      </c>
      <c r="I2" s="18">
        <v>7200</v>
      </c>
      <c r="J2" s="5">
        <v>0</v>
      </c>
      <c r="K2" s="5">
        <f>I2+J2</f>
        <v>7200</v>
      </c>
    </row>
    <row r="3" spans="1:11" x14ac:dyDescent="0.25">
      <c r="A3" s="17" t="s">
        <v>11</v>
      </c>
      <c r="B3" s="17" t="s">
        <v>16</v>
      </c>
      <c r="C3" s="17" t="s">
        <v>17</v>
      </c>
      <c r="D3" s="17" t="s">
        <v>15</v>
      </c>
      <c r="E3" s="18">
        <v>5000</v>
      </c>
      <c r="F3" s="18">
        <v>0</v>
      </c>
      <c r="G3" s="18">
        <v>0</v>
      </c>
      <c r="H3" s="17" t="s">
        <v>15</v>
      </c>
      <c r="I3" s="18">
        <v>5000</v>
      </c>
      <c r="J3" s="5">
        <v>0</v>
      </c>
      <c r="K3" s="5">
        <f>I3+J3</f>
        <v>5000</v>
      </c>
    </row>
    <row r="4" spans="1:11" x14ac:dyDescent="0.25">
      <c r="A4" s="17" t="s">
        <v>11</v>
      </c>
      <c r="B4" s="17" t="s">
        <v>18</v>
      </c>
      <c r="C4" s="17" t="s">
        <v>19</v>
      </c>
      <c r="D4" s="17" t="s">
        <v>15</v>
      </c>
      <c r="E4" s="18">
        <v>220</v>
      </c>
      <c r="F4" s="18">
        <v>0</v>
      </c>
      <c r="G4" s="18">
        <v>220</v>
      </c>
      <c r="H4" s="17" t="s">
        <v>14</v>
      </c>
      <c r="I4" s="18">
        <v>0</v>
      </c>
      <c r="J4" s="5">
        <v>0</v>
      </c>
      <c r="K4" s="5">
        <f>I4+J4</f>
        <v>0</v>
      </c>
    </row>
    <row r="5" spans="1:11" x14ac:dyDescent="0.25">
      <c r="J5" s="5">
        <f>-SUM(应付账款!J2:J33)</f>
        <v>12520</v>
      </c>
      <c r="K5" s="5">
        <f>SUM(K2:K4)</f>
        <v>12200</v>
      </c>
    </row>
    <row r="6" spans="1:11" x14ac:dyDescent="0.25">
      <c r="J6" s="5"/>
      <c r="K6" s="5">
        <f>J5+K5</f>
        <v>24720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topLeftCell="A16" workbookViewId="0">
      <selection activeCell="K34" sqref="K34"/>
    </sheetView>
  </sheetViews>
  <sheetFormatPr defaultColWidth="8.88671875" defaultRowHeight="14.4" x14ac:dyDescent="0.25"/>
  <cols>
    <col min="1" max="1" width="7.88671875" style="11" customWidth="1"/>
    <col min="2" max="2" width="9.44140625" style="11" customWidth="1"/>
    <col min="3" max="3" width="40.109375" style="11" customWidth="1"/>
    <col min="4" max="4" width="5.44140625" style="11" customWidth="1"/>
    <col min="5" max="5" width="15.88671875" style="12" customWidth="1"/>
    <col min="6" max="6" width="14.88671875" style="12" customWidth="1"/>
    <col min="7" max="7" width="15.88671875" style="12" customWidth="1"/>
    <col min="8" max="8" width="6.33203125" style="12" customWidth="1"/>
    <col min="9" max="9" width="15.88671875" style="12" customWidth="1"/>
    <col min="10" max="10" width="14.44140625" style="12" customWidth="1"/>
    <col min="11" max="11" width="18.109375" style="11" customWidth="1"/>
    <col min="12" max="16384" width="8.88671875" style="11"/>
  </cols>
  <sheetData>
    <row r="1" spans="1:11" s="9" customFormat="1" x14ac:dyDescent="0.25">
      <c r="A1" s="13" t="s">
        <v>0</v>
      </c>
      <c r="B1" s="13" t="s">
        <v>1</v>
      </c>
      <c r="C1" s="13" t="s">
        <v>2</v>
      </c>
      <c r="D1" s="13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9" t="s">
        <v>10</v>
      </c>
    </row>
    <row r="2" spans="1:11" s="10" customFormat="1" x14ac:dyDescent="0.25">
      <c r="A2" s="17" t="s">
        <v>20</v>
      </c>
      <c r="B2" s="17" t="s">
        <v>21</v>
      </c>
      <c r="C2" s="17" t="s">
        <v>22</v>
      </c>
      <c r="D2" s="17" t="s">
        <v>23</v>
      </c>
      <c r="E2" s="18">
        <v>2626578.2799999998</v>
      </c>
      <c r="F2" s="18">
        <v>0</v>
      </c>
      <c r="G2" s="18">
        <v>0</v>
      </c>
      <c r="H2" s="17" t="s">
        <v>23</v>
      </c>
      <c r="I2" s="18">
        <v>2626578.2799999998</v>
      </c>
      <c r="J2" s="16">
        <f>IF(H2="借",-I2,0)</f>
        <v>0</v>
      </c>
      <c r="K2" s="10">
        <f>I2+J2</f>
        <v>2626578.2799999998</v>
      </c>
    </row>
    <row r="3" spans="1:11" s="10" customFormat="1" x14ac:dyDescent="0.25">
      <c r="A3" s="17" t="s">
        <v>20</v>
      </c>
      <c r="B3" s="17" t="s">
        <v>24</v>
      </c>
      <c r="C3" s="17" t="s">
        <v>25</v>
      </c>
      <c r="D3" s="17" t="s">
        <v>23</v>
      </c>
      <c r="E3" s="18">
        <v>76262.259999999995</v>
      </c>
      <c r="F3" s="18">
        <v>0</v>
      </c>
      <c r="G3" s="18">
        <v>-76262.259999999995</v>
      </c>
      <c r="H3" s="17" t="s">
        <v>14</v>
      </c>
      <c r="I3" s="18">
        <v>0</v>
      </c>
      <c r="J3" s="16">
        <f>IF(H3="借",-I3,0)</f>
        <v>0</v>
      </c>
      <c r="K3" s="10">
        <f>I3+J3</f>
        <v>0</v>
      </c>
    </row>
    <row r="4" spans="1:11" x14ac:dyDescent="0.25">
      <c r="A4" s="17" t="s">
        <v>20</v>
      </c>
      <c r="B4" s="17" t="s">
        <v>12</v>
      </c>
      <c r="C4" s="17" t="s">
        <v>13</v>
      </c>
      <c r="D4" s="17" t="s">
        <v>23</v>
      </c>
      <c r="E4" s="18">
        <v>44315.040000000001</v>
      </c>
      <c r="F4" s="18">
        <v>31653.599999999999</v>
      </c>
      <c r="G4" s="18">
        <v>1011.9</v>
      </c>
      <c r="H4" s="17" t="s">
        <v>23</v>
      </c>
      <c r="I4" s="18">
        <v>13673.34</v>
      </c>
      <c r="J4" s="16">
        <f>IF(H4="借",-I4,0)</f>
        <v>0</v>
      </c>
      <c r="K4" s="10">
        <f>I4+J4</f>
        <v>13673.34</v>
      </c>
    </row>
    <row r="5" spans="1:11" x14ac:dyDescent="0.25">
      <c r="A5" s="17" t="s">
        <v>20</v>
      </c>
      <c r="B5" s="17" t="s">
        <v>26</v>
      </c>
      <c r="C5" s="17" t="s">
        <v>27</v>
      </c>
      <c r="D5" s="17" t="s">
        <v>23</v>
      </c>
      <c r="E5" s="18">
        <v>821</v>
      </c>
      <c r="F5" s="18">
        <v>821</v>
      </c>
      <c r="G5" s="18">
        <v>0</v>
      </c>
      <c r="H5" s="17" t="s">
        <v>14</v>
      </c>
      <c r="I5" s="18">
        <v>0</v>
      </c>
      <c r="J5" s="16">
        <f>IF(H5="借",-I5,0)</f>
        <v>0</v>
      </c>
      <c r="K5" s="10">
        <f>I5+J5</f>
        <v>0</v>
      </c>
    </row>
    <row r="6" spans="1:11" x14ac:dyDescent="0.25">
      <c r="A6" s="17" t="s">
        <v>20</v>
      </c>
      <c r="B6" s="17" t="s">
        <v>30</v>
      </c>
      <c r="C6" s="17" t="s">
        <v>31</v>
      </c>
      <c r="D6" s="17" t="s">
        <v>23</v>
      </c>
      <c r="E6" s="18">
        <v>3000</v>
      </c>
      <c r="F6" s="18">
        <v>3000</v>
      </c>
      <c r="G6" s="18">
        <v>3000</v>
      </c>
      <c r="H6" s="17" t="s">
        <v>23</v>
      </c>
      <c r="I6" s="18">
        <v>3000</v>
      </c>
      <c r="J6" s="16">
        <f t="shared" ref="J6:J19" si="0">IF(H6="借",-I6,0)</f>
        <v>0</v>
      </c>
      <c r="K6" s="10">
        <f t="shared" ref="K6:K19" si="1">I6+J6</f>
        <v>3000</v>
      </c>
    </row>
    <row r="7" spans="1:11" x14ac:dyDescent="0.25">
      <c r="A7" s="17" t="s">
        <v>20</v>
      </c>
      <c r="B7" s="17" t="s">
        <v>32</v>
      </c>
      <c r="C7" s="17" t="s">
        <v>33</v>
      </c>
      <c r="D7" s="17" t="s">
        <v>23</v>
      </c>
      <c r="E7" s="18">
        <v>10</v>
      </c>
      <c r="F7" s="18">
        <v>0</v>
      </c>
      <c r="G7" s="18">
        <v>0</v>
      </c>
      <c r="H7" s="17" t="s">
        <v>23</v>
      </c>
      <c r="I7" s="18">
        <v>10</v>
      </c>
      <c r="J7" s="16">
        <f t="shared" si="0"/>
        <v>0</v>
      </c>
      <c r="K7" s="10">
        <f t="shared" si="1"/>
        <v>10</v>
      </c>
    </row>
    <row r="8" spans="1:11" x14ac:dyDescent="0.25">
      <c r="A8" s="17" t="s">
        <v>20</v>
      </c>
      <c r="B8" s="17" t="s">
        <v>34</v>
      </c>
      <c r="C8" s="17" t="s">
        <v>35</v>
      </c>
      <c r="D8" s="17" t="s">
        <v>14</v>
      </c>
      <c r="E8" s="18">
        <v>0</v>
      </c>
      <c r="F8" s="18">
        <v>0</v>
      </c>
      <c r="G8" s="18">
        <v>0</v>
      </c>
      <c r="H8" s="17" t="s">
        <v>14</v>
      </c>
      <c r="I8" s="18">
        <v>0</v>
      </c>
      <c r="J8" s="16">
        <f t="shared" si="0"/>
        <v>0</v>
      </c>
      <c r="K8" s="10">
        <f t="shared" si="1"/>
        <v>0</v>
      </c>
    </row>
    <row r="9" spans="1:11" x14ac:dyDescent="0.25">
      <c r="A9" s="17" t="s">
        <v>20</v>
      </c>
      <c r="B9" s="17" t="s">
        <v>36</v>
      </c>
      <c r="C9" s="17" t="s">
        <v>37</v>
      </c>
      <c r="D9" s="17" t="s">
        <v>15</v>
      </c>
      <c r="E9" s="18">
        <v>2060</v>
      </c>
      <c r="F9" s="18">
        <v>0</v>
      </c>
      <c r="G9" s="18">
        <v>0</v>
      </c>
      <c r="H9" s="17" t="s">
        <v>15</v>
      </c>
      <c r="I9" s="18">
        <v>2060</v>
      </c>
      <c r="J9" s="16">
        <f t="shared" si="0"/>
        <v>-2060</v>
      </c>
      <c r="K9" s="10">
        <f t="shared" si="1"/>
        <v>0</v>
      </c>
    </row>
    <row r="10" spans="1:11" x14ac:dyDescent="0.25">
      <c r="A10" s="17" t="s">
        <v>20</v>
      </c>
      <c r="B10" s="17" t="s">
        <v>158</v>
      </c>
      <c r="C10" s="17" t="s">
        <v>159</v>
      </c>
      <c r="D10" s="17" t="s">
        <v>14</v>
      </c>
      <c r="E10" s="18">
        <v>0</v>
      </c>
      <c r="F10" s="18">
        <v>1980.5</v>
      </c>
      <c r="G10" s="18">
        <v>1980.5</v>
      </c>
      <c r="H10" s="17" t="s">
        <v>14</v>
      </c>
      <c r="I10" s="18">
        <v>0</v>
      </c>
      <c r="J10" s="16">
        <f t="shared" si="0"/>
        <v>0</v>
      </c>
      <c r="K10" s="10">
        <f t="shared" si="1"/>
        <v>0</v>
      </c>
    </row>
    <row r="11" spans="1:11" x14ac:dyDescent="0.25">
      <c r="A11" s="17" t="s">
        <v>20</v>
      </c>
      <c r="B11" s="17" t="s">
        <v>38</v>
      </c>
      <c r="C11" s="17" t="s">
        <v>39</v>
      </c>
      <c r="D11" s="17" t="s">
        <v>14</v>
      </c>
      <c r="E11" s="18">
        <v>0</v>
      </c>
      <c r="F11" s="18">
        <v>0</v>
      </c>
      <c r="G11" s="18">
        <v>0</v>
      </c>
      <c r="H11" s="17" t="s">
        <v>14</v>
      </c>
      <c r="I11" s="18">
        <v>0</v>
      </c>
      <c r="J11" s="16">
        <f t="shared" si="0"/>
        <v>0</v>
      </c>
      <c r="K11" s="10">
        <f t="shared" si="1"/>
        <v>0</v>
      </c>
    </row>
    <row r="12" spans="1:11" x14ac:dyDescent="0.25">
      <c r="A12" s="17" t="s">
        <v>20</v>
      </c>
      <c r="B12" s="17" t="s">
        <v>40</v>
      </c>
      <c r="C12" s="17" t="s">
        <v>41</v>
      </c>
      <c r="D12" s="17" t="s">
        <v>14</v>
      </c>
      <c r="E12" s="18">
        <v>0</v>
      </c>
      <c r="F12" s="18">
        <v>471.2</v>
      </c>
      <c r="G12" s="18">
        <v>471.2</v>
      </c>
      <c r="H12" s="17" t="s">
        <v>14</v>
      </c>
      <c r="I12" s="18">
        <v>0</v>
      </c>
      <c r="J12" s="16">
        <f t="shared" si="0"/>
        <v>0</v>
      </c>
      <c r="K12" s="10">
        <f t="shared" si="1"/>
        <v>0</v>
      </c>
    </row>
    <row r="13" spans="1:11" x14ac:dyDescent="0.25">
      <c r="A13" s="17" t="s">
        <v>20</v>
      </c>
      <c r="B13" s="17" t="s">
        <v>42</v>
      </c>
      <c r="C13" s="17" t="s">
        <v>43</v>
      </c>
      <c r="D13" s="17" t="s">
        <v>14</v>
      </c>
      <c r="E13" s="18">
        <v>0</v>
      </c>
      <c r="F13" s="18">
        <v>0</v>
      </c>
      <c r="G13" s="18">
        <v>1603.7</v>
      </c>
      <c r="H13" s="17" t="s">
        <v>23</v>
      </c>
      <c r="I13" s="18">
        <v>1603.7</v>
      </c>
      <c r="J13" s="16">
        <f t="shared" si="0"/>
        <v>0</v>
      </c>
      <c r="K13" s="10">
        <f t="shared" si="1"/>
        <v>1603.7</v>
      </c>
    </row>
    <row r="14" spans="1:11" x14ac:dyDescent="0.25">
      <c r="A14" s="17" t="s">
        <v>20</v>
      </c>
      <c r="B14" s="17" t="s">
        <v>44</v>
      </c>
      <c r="C14" s="17" t="s">
        <v>45</v>
      </c>
      <c r="D14" s="17" t="s">
        <v>23</v>
      </c>
      <c r="E14" s="18">
        <v>24890</v>
      </c>
      <c r="F14" s="18">
        <v>11530</v>
      </c>
      <c r="G14" s="18">
        <v>2401</v>
      </c>
      <c r="H14" s="17" t="s">
        <v>23</v>
      </c>
      <c r="I14" s="18">
        <v>15761</v>
      </c>
      <c r="J14" s="16">
        <f t="shared" si="0"/>
        <v>0</v>
      </c>
      <c r="K14" s="10">
        <f t="shared" si="1"/>
        <v>15761</v>
      </c>
    </row>
    <row r="15" spans="1:11" x14ac:dyDescent="0.25">
      <c r="A15" s="17" t="s">
        <v>20</v>
      </c>
      <c r="B15" s="17" t="s">
        <v>46</v>
      </c>
      <c r="C15" s="17" t="s">
        <v>47</v>
      </c>
      <c r="D15" s="17" t="s">
        <v>15</v>
      </c>
      <c r="E15" s="18">
        <v>800</v>
      </c>
      <c r="F15" s="18">
        <v>0</v>
      </c>
      <c r="G15" s="18">
        <v>800</v>
      </c>
      <c r="H15" s="17" t="s">
        <v>14</v>
      </c>
      <c r="I15" s="18">
        <v>0</v>
      </c>
      <c r="J15" s="16">
        <f t="shared" si="0"/>
        <v>0</v>
      </c>
      <c r="K15" s="10">
        <f t="shared" si="1"/>
        <v>0</v>
      </c>
    </row>
    <row r="16" spans="1:11" x14ac:dyDescent="0.25">
      <c r="A16" s="17" t="s">
        <v>20</v>
      </c>
      <c r="B16" s="17" t="s">
        <v>48</v>
      </c>
      <c r="C16" s="17" t="s">
        <v>49</v>
      </c>
      <c r="D16" s="17" t="s">
        <v>15</v>
      </c>
      <c r="E16" s="18">
        <v>5460</v>
      </c>
      <c r="F16" s="18">
        <v>0</v>
      </c>
      <c r="G16" s="18">
        <v>0</v>
      </c>
      <c r="H16" s="17" t="s">
        <v>15</v>
      </c>
      <c r="I16" s="18">
        <v>5460</v>
      </c>
      <c r="J16" s="16">
        <f t="shared" si="0"/>
        <v>-5460</v>
      </c>
      <c r="K16" s="10">
        <f t="shared" si="1"/>
        <v>0</v>
      </c>
    </row>
    <row r="17" spans="1:11" x14ac:dyDescent="0.25">
      <c r="A17" s="17" t="s">
        <v>20</v>
      </c>
      <c r="B17" s="17" t="s">
        <v>50</v>
      </c>
      <c r="C17" s="17" t="s">
        <v>51</v>
      </c>
      <c r="D17" s="17" t="s">
        <v>15</v>
      </c>
      <c r="E17" s="18">
        <v>2000</v>
      </c>
      <c r="F17" s="18">
        <v>0</v>
      </c>
      <c r="G17" s="18">
        <v>2000</v>
      </c>
      <c r="H17" s="17" t="s">
        <v>14</v>
      </c>
      <c r="I17" s="18">
        <v>0</v>
      </c>
      <c r="J17" s="16">
        <f t="shared" si="0"/>
        <v>0</v>
      </c>
      <c r="K17" s="10">
        <f t="shared" si="1"/>
        <v>0</v>
      </c>
    </row>
    <row r="18" spans="1:11" x14ac:dyDescent="0.25">
      <c r="A18" s="17" t="s">
        <v>20</v>
      </c>
      <c r="B18" s="17" t="s">
        <v>52</v>
      </c>
      <c r="C18" s="17" t="s">
        <v>53</v>
      </c>
      <c r="D18" s="17" t="s">
        <v>15</v>
      </c>
      <c r="E18" s="18">
        <v>5000</v>
      </c>
      <c r="F18" s="18">
        <v>0</v>
      </c>
      <c r="G18" s="18">
        <v>0</v>
      </c>
      <c r="H18" s="17" t="s">
        <v>15</v>
      </c>
      <c r="I18" s="18">
        <v>5000</v>
      </c>
      <c r="J18" s="16">
        <f t="shared" si="0"/>
        <v>-5000</v>
      </c>
      <c r="K18" s="10">
        <f t="shared" si="1"/>
        <v>0</v>
      </c>
    </row>
    <row r="19" spans="1:11" x14ac:dyDescent="0.25">
      <c r="A19" s="17" t="s">
        <v>20</v>
      </c>
      <c r="B19" s="17" t="s">
        <v>54</v>
      </c>
      <c r="C19" s="17" t="s">
        <v>55</v>
      </c>
      <c r="D19" s="17" t="s">
        <v>14</v>
      </c>
      <c r="E19" s="18">
        <v>0</v>
      </c>
      <c r="F19" s="18">
        <v>4250</v>
      </c>
      <c r="G19" s="18">
        <v>4250</v>
      </c>
      <c r="H19" s="17" t="s">
        <v>14</v>
      </c>
      <c r="I19" s="18">
        <v>0</v>
      </c>
      <c r="J19" s="16">
        <f t="shared" si="0"/>
        <v>0</v>
      </c>
      <c r="K19" s="10">
        <f t="shared" si="1"/>
        <v>0</v>
      </c>
    </row>
    <row r="20" spans="1:11" x14ac:dyDescent="0.25">
      <c r="A20" s="17" t="s">
        <v>20</v>
      </c>
      <c r="B20" s="17" t="s">
        <v>56</v>
      </c>
      <c r="C20" s="17" t="s">
        <v>57</v>
      </c>
      <c r="D20" s="17" t="s">
        <v>15</v>
      </c>
      <c r="E20" s="18">
        <v>8000</v>
      </c>
      <c r="F20" s="18">
        <v>0</v>
      </c>
      <c r="G20" s="18">
        <v>8000</v>
      </c>
      <c r="H20" s="17" t="s">
        <v>14</v>
      </c>
      <c r="I20" s="18">
        <v>0</v>
      </c>
      <c r="J20" s="16">
        <f t="shared" ref="J20:J27" si="2">IF(H20="借",-I20,0)</f>
        <v>0</v>
      </c>
      <c r="K20" s="10">
        <f t="shared" ref="K20:K27" si="3">I20+J20</f>
        <v>0</v>
      </c>
    </row>
    <row r="21" spans="1:11" x14ac:dyDescent="0.25">
      <c r="A21" s="17" t="s">
        <v>20</v>
      </c>
      <c r="B21" s="17" t="s">
        <v>58</v>
      </c>
      <c r="C21" s="17" t="s">
        <v>59</v>
      </c>
      <c r="D21" s="17" t="s">
        <v>14</v>
      </c>
      <c r="E21" s="18">
        <v>0</v>
      </c>
      <c r="F21" s="18">
        <v>0</v>
      </c>
      <c r="G21" s="18">
        <v>0</v>
      </c>
      <c r="H21" s="17" t="s">
        <v>14</v>
      </c>
      <c r="I21" s="18">
        <v>0</v>
      </c>
      <c r="J21" s="16">
        <f t="shared" si="2"/>
        <v>0</v>
      </c>
      <c r="K21" s="10">
        <f t="shared" si="3"/>
        <v>0</v>
      </c>
    </row>
    <row r="22" spans="1:11" x14ac:dyDescent="0.25">
      <c r="A22" s="17" t="s">
        <v>20</v>
      </c>
      <c r="B22" s="17" t="s">
        <v>60</v>
      </c>
      <c r="C22" s="17" t="s">
        <v>61</v>
      </c>
      <c r="D22" s="17" t="s">
        <v>23</v>
      </c>
      <c r="E22" s="18">
        <v>6000</v>
      </c>
      <c r="F22" s="18">
        <v>0</v>
      </c>
      <c r="G22" s="18">
        <v>0</v>
      </c>
      <c r="H22" s="17" t="s">
        <v>23</v>
      </c>
      <c r="I22" s="18">
        <v>6000</v>
      </c>
      <c r="J22" s="16">
        <f t="shared" si="2"/>
        <v>0</v>
      </c>
      <c r="K22" s="10">
        <f t="shared" si="3"/>
        <v>6000</v>
      </c>
    </row>
    <row r="23" spans="1:11" x14ac:dyDescent="0.25">
      <c r="A23" s="17" t="s">
        <v>20</v>
      </c>
      <c r="B23" s="17" t="s">
        <v>160</v>
      </c>
      <c r="C23" s="17" t="s">
        <v>161</v>
      </c>
      <c r="D23" s="17" t="s">
        <v>14</v>
      </c>
      <c r="E23" s="18">
        <v>0</v>
      </c>
      <c r="F23" s="18">
        <v>339</v>
      </c>
      <c r="G23" s="18">
        <v>339</v>
      </c>
      <c r="H23" s="17" t="s">
        <v>14</v>
      </c>
      <c r="I23" s="18">
        <v>0</v>
      </c>
      <c r="J23" s="16">
        <f t="shared" si="2"/>
        <v>0</v>
      </c>
      <c r="K23" s="10">
        <f t="shared" si="3"/>
        <v>0</v>
      </c>
    </row>
    <row r="24" spans="1:11" x14ac:dyDescent="0.25">
      <c r="A24" s="17" t="s">
        <v>20</v>
      </c>
      <c r="B24" s="17" t="s">
        <v>62</v>
      </c>
      <c r="C24" s="17" t="s">
        <v>63</v>
      </c>
      <c r="D24" s="17" t="s">
        <v>23</v>
      </c>
      <c r="E24" s="18">
        <v>2600</v>
      </c>
      <c r="F24" s="18">
        <v>2600</v>
      </c>
      <c r="G24" s="18">
        <v>0</v>
      </c>
      <c r="H24" s="17" t="s">
        <v>14</v>
      </c>
      <c r="I24" s="18">
        <v>0</v>
      </c>
      <c r="J24" s="16">
        <f t="shared" si="2"/>
        <v>0</v>
      </c>
      <c r="K24" s="10">
        <f t="shared" si="3"/>
        <v>0</v>
      </c>
    </row>
    <row r="25" spans="1:11" x14ac:dyDescent="0.25">
      <c r="A25" s="17" t="s">
        <v>20</v>
      </c>
      <c r="B25" s="17" t="s">
        <v>64</v>
      </c>
      <c r="C25" s="17" t="s">
        <v>65</v>
      </c>
      <c r="D25" s="17" t="s">
        <v>23</v>
      </c>
      <c r="E25" s="18">
        <v>390</v>
      </c>
      <c r="F25" s="18">
        <v>390</v>
      </c>
      <c r="G25" s="18">
        <v>0</v>
      </c>
      <c r="H25" s="17" t="s">
        <v>14</v>
      </c>
      <c r="I25" s="18">
        <v>0</v>
      </c>
      <c r="J25" s="16">
        <f t="shared" si="2"/>
        <v>0</v>
      </c>
      <c r="K25" s="10">
        <f t="shared" si="3"/>
        <v>0</v>
      </c>
    </row>
    <row r="26" spans="1:11" x14ac:dyDescent="0.25">
      <c r="A26" s="17" t="s">
        <v>20</v>
      </c>
      <c r="B26" s="17" t="s">
        <v>66</v>
      </c>
      <c r="C26" s="17" t="s">
        <v>67</v>
      </c>
      <c r="D26" s="17" t="s">
        <v>14</v>
      </c>
      <c r="E26" s="18">
        <v>0</v>
      </c>
      <c r="F26" s="18">
        <v>13241.22</v>
      </c>
      <c r="G26" s="18">
        <v>13241.22</v>
      </c>
      <c r="H26" s="17" t="s">
        <v>14</v>
      </c>
      <c r="I26" s="18">
        <v>0</v>
      </c>
      <c r="J26" s="16">
        <f t="shared" si="2"/>
        <v>0</v>
      </c>
      <c r="K26" s="10">
        <f t="shared" si="3"/>
        <v>0</v>
      </c>
    </row>
    <row r="27" spans="1:11" x14ac:dyDescent="0.25">
      <c r="A27" s="17" t="s">
        <v>20</v>
      </c>
      <c r="B27" s="17" t="s">
        <v>162</v>
      </c>
      <c r="C27" s="17" t="s">
        <v>163</v>
      </c>
      <c r="D27" s="17" t="s">
        <v>14</v>
      </c>
      <c r="E27" s="18">
        <v>0</v>
      </c>
      <c r="F27" s="18">
        <v>20000</v>
      </c>
      <c r="G27" s="18">
        <v>20000</v>
      </c>
      <c r="H27" s="17" t="s">
        <v>14</v>
      </c>
      <c r="I27" s="18">
        <v>0</v>
      </c>
      <c r="J27" s="16">
        <f t="shared" si="2"/>
        <v>0</v>
      </c>
      <c r="K27" s="10">
        <f t="shared" si="3"/>
        <v>0</v>
      </c>
    </row>
    <row r="28" spans="1:11" x14ac:dyDescent="0.25">
      <c r="A28" s="17" t="s">
        <v>20</v>
      </c>
      <c r="B28" s="17" t="s">
        <v>68</v>
      </c>
      <c r="C28" s="17" t="s">
        <v>69</v>
      </c>
      <c r="D28" s="17" t="s">
        <v>23</v>
      </c>
      <c r="E28" s="18">
        <v>60000</v>
      </c>
      <c r="F28" s="18">
        <v>0</v>
      </c>
      <c r="G28" s="18">
        <v>0</v>
      </c>
      <c r="H28" s="17" t="s">
        <v>23</v>
      </c>
      <c r="I28" s="18">
        <v>60000</v>
      </c>
      <c r="J28" s="16">
        <f t="shared" ref="J28:J33" si="4">IF(H28="借",-I28,0)</f>
        <v>0</v>
      </c>
      <c r="K28" s="10">
        <f t="shared" ref="K28:K33" si="5">I28+J28</f>
        <v>60000</v>
      </c>
    </row>
    <row r="29" spans="1:11" x14ac:dyDescent="0.25">
      <c r="A29" s="17" t="s">
        <v>20</v>
      </c>
      <c r="B29" s="17" t="s">
        <v>70</v>
      </c>
      <c r="C29" s="17" t="s">
        <v>71</v>
      </c>
      <c r="D29" s="17" t="s">
        <v>23</v>
      </c>
      <c r="E29" s="18">
        <v>59000</v>
      </c>
      <c r="F29" s="18">
        <v>44000</v>
      </c>
      <c r="G29" s="18">
        <v>0</v>
      </c>
      <c r="H29" s="17" t="s">
        <v>23</v>
      </c>
      <c r="I29" s="18">
        <v>15000</v>
      </c>
      <c r="J29" s="16">
        <f t="shared" si="4"/>
        <v>0</v>
      </c>
      <c r="K29" s="10">
        <f t="shared" si="5"/>
        <v>15000</v>
      </c>
    </row>
    <row r="30" spans="1:11" x14ac:dyDescent="0.25">
      <c r="A30" s="17" t="s">
        <v>20</v>
      </c>
      <c r="B30" s="17" t="s">
        <v>164</v>
      </c>
      <c r="C30" s="17" t="s">
        <v>165</v>
      </c>
      <c r="D30" s="17" t="s">
        <v>14</v>
      </c>
      <c r="E30" s="18">
        <v>0</v>
      </c>
      <c r="F30" s="18">
        <v>1499</v>
      </c>
      <c r="G30" s="18">
        <v>1499</v>
      </c>
      <c r="H30" s="17" t="s">
        <v>14</v>
      </c>
      <c r="I30" s="18">
        <v>0</v>
      </c>
      <c r="J30" s="16">
        <f t="shared" si="4"/>
        <v>0</v>
      </c>
      <c r="K30" s="10">
        <f t="shared" si="5"/>
        <v>0</v>
      </c>
    </row>
    <row r="31" spans="1:11" x14ac:dyDescent="0.25">
      <c r="A31" s="17" t="s">
        <v>20</v>
      </c>
      <c r="B31" s="17" t="s">
        <v>166</v>
      </c>
      <c r="C31" s="17" t="s">
        <v>167</v>
      </c>
      <c r="D31" s="17" t="s">
        <v>14</v>
      </c>
      <c r="E31" s="18">
        <v>0</v>
      </c>
      <c r="F31" s="18">
        <v>0</v>
      </c>
      <c r="G31" s="18">
        <v>6000</v>
      </c>
      <c r="H31" s="17" t="s">
        <v>23</v>
      </c>
      <c r="I31" s="18">
        <v>6000</v>
      </c>
      <c r="J31" s="16">
        <f t="shared" si="4"/>
        <v>0</v>
      </c>
      <c r="K31" s="10">
        <f t="shared" si="5"/>
        <v>6000</v>
      </c>
    </row>
    <row r="32" spans="1:11" x14ac:dyDescent="0.25">
      <c r="A32" s="17" t="s">
        <v>20</v>
      </c>
      <c r="B32" s="17" t="s">
        <v>168</v>
      </c>
      <c r="C32" s="17" t="s">
        <v>169</v>
      </c>
      <c r="D32" s="17" t="s">
        <v>14</v>
      </c>
      <c r="E32" s="18">
        <v>0</v>
      </c>
      <c r="F32" s="18">
        <v>0</v>
      </c>
      <c r="G32" s="18">
        <v>45000</v>
      </c>
      <c r="H32" s="17" t="s">
        <v>23</v>
      </c>
      <c r="I32" s="18">
        <v>45000</v>
      </c>
      <c r="J32" s="16">
        <f t="shared" si="4"/>
        <v>0</v>
      </c>
      <c r="K32" s="10">
        <f t="shared" si="5"/>
        <v>45000</v>
      </c>
    </row>
    <row r="33" spans="1:11" x14ac:dyDescent="0.25">
      <c r="A33" s="17" t="s">
        <v>20</v>
      </c>
      <c r="B33" s="17" t="s">
        <v>170</v>
      </c>
      <c r="C33" s="17" t="s">
        <v>171</v>
      </c>
      <c r="D33" s="17" t="s">
        <v>14</v>
      </c>
      <c r="E33" s="18">
        <v>0</v>
      </c>
      <c r="F33" s="18">
        <v>0</v>
      </c>
      <c r="G33" s="18">
        <v>4043</v>
      </c>
      <c r="H33" s="17" t="s">
        <v>23</v>
      </c>
      <c r="I33" s="18">
        <v>4043</v>
      </c>
      <c r="J33" s="16">
        <f t="shared" si="4"/>
        <v>0</v>
      </c>
      <c r="K33" s="10">
        <f t="shared" si="5"/>
        <v>4043</v>
      </c>
    </row>
    <row r="34" spans="1:11" x14ac:dyDescent="0.25">
      <c r="K34" s="11">
        <f>SUM(K2:K33)</f>
        <v>2796669.32</v>
      </c>
    </row>
  </sheetData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workbookViewId="0">
      <selection activeCell="L15" sqref="L15"/>
    </sheetView>
  </sheetViews>
  <sheetFormatPr defaultColWidth="8.88671875" defaultRowHeight="12" x14ac:dyDescent="0.15"/>
  <cols>
    <col min="1" max="1" width="7.88671875" style="1" customWidth="1"/>
    <col min="2" max="2" width="13.6640625" style="1" customWidth="1"/>
    <col min="3" max="3" width="7.88671875" style="1" customWidth="1"/>
    <col min="4" max="4" width="29.33203125" style="1" customWidth="1"/>
    <col min="5" max="5" width="5.44140625" style="1" customWidth="1"/>
    <col min="6" max="6" width="16.33203125" style="2" customWidth="1"/>
    <col min="7" max="7" width="14" style="2" customWidth="1"/>
    <col min="8" max="8" width="15" style="2" customWidth="1"/>
    <col min="9" max="9" width="9.44140625" style="2" customWidth="1"/>
    <col min="10" max="10" width="14.88671875" style="2" customWidth="1"/>
    <col min="11" max="11" width="19.44140625" style="1" customWidth="1"/>
    <col min="12" max="12" width="17.5546875" style="1" customWidth="1"/>
    <col min="13" max="13" width="9.21875" style="1"/>
    <col min="14" max="16384" width="8.88671875" style="1"/>
  </cols>
  <sheetData>
    <row r="1" spans="1:12" x14ac:dyDescent="0.15">
      <c r="A1" s="8" t="s">
        <v>72</v>
      </c>
      <c r="B1" s="8" t="s">
        <v>73</v>
      </c>
      <c r="C1" s="8" t="s">
        <v>74</v>
      </c>
      <c r="D1" s="8" t="s">
        <v>75</v>
      </c>
      <c r="E1" s="8" t="s">
        <v>3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  <c r="K1" s="1" t="s">
        <v>9</v>
      </c>
      <c r="L1" s="1" t="s">
        <v>10</v>
      </c>
    </row>
    <row r="2" spans="1:12" ht="14.4" x14ac:dyDescent="0.25">
      <c r="A2" s="17" t="s">
        <v>81</v>
      </c>
      <c r="B2" s="17" t="s">
        <v>82</v>
      </c>
      <c r="C2" s="17" t="s">
        <v>21</v>
      </c>
      <c r="D2" s="17" t="s">
        <v>22</v>
      </c>
      <c r="E2" s="17" t="s">
        <v>15</v>
      </c>
      <c r="F2" s="18">
        <v>616190.06999999995</v>
      </c>
      <c r="G2" s="18">
        <v>0</v>
      </c>
      <c r="H2" s="18">
        <v>0</v>
      </c>
      <c r="I2" s="17" t="s">
        <v>15</v>
      </c>
      <c r="J2" s="18">
        <v>616190.06999999995</v>
      </c>
      <c r="K2" s="2">
        <f>IF(I2="借",0,-J2)</f>
        <v>0</v>
      </c>
      <c r="L2" s="1">
        <f>J2+K2</f>
        <v>616190.06999999995</v>
      </c>
    </row>
    <row r="3" spans="1:12" ht="14.4" x14ac:dyDescent="0.25">
      <c r="A3" s="17" t="s">
        <v>81</v>
      </c>
      <c r="B3" s="17" t="s">
        <v>82</v>
      </c>
      <c r="C3" s="17" t="s">
        <v>83</v>
      </c>
      <c r="D3" s="17" t="s">
        <v>84</v>
      </c>
      <c r="E3" s="17" t="s">
        <v>15</v>
      </c>
      <c r="F3" s="18">
        <v>1000</v>
      </c>
      <c r="G3" s="18">
        <v>0</v>
      </c>
      <c r="H3" s="18">
        <v>0</v>
      </c>
      <c r="I3" s="17" t="s">
        <v>15</v>
      </c>
      <c r="J3" s="18">
        <v>1000</v>
      </c>
      <c r="K3" s="2">
        <f t="shared" ref="K3:K11" si="0">IF(I3="借",0,-J3)</f>
        <v>0</v>
      </c>
      <c r="L3" s="1">
        <f t="shared" ref="L3:L12" si="1">J3+K3</f>
        <v>1000</v>
      </c>
    </row>
    <row r="4" spans="1:12" ht="14.4" x14ac:dyDescent="0.25">
      <c r="A4" s="17" t="s">
        <v>81</v>
      </c>
      <c r="B4" s="17" t="s">
        <v>82</v>
      </c>
      <c r="C4" s="17" t="s">
        <v>85</v>
      </c>
      <c r="D4" s="17" t="s">
        <v>86</v>
      </c>
      <c r="E4" s="17" t="s">
        <v>23</v>
      </c>
      <c r="F4" s="18">
        <v>43974166.859999999</v>
      </c>
      <c r="G4" s="18">
        <v>679200</v>
      </c>
      <c r="H4" s="18">
        <v>2154000</v>
      </c>
      <c r="I4" s="17" t="s">
        <v>23</v>
      </c>
      <c r="J4" s="18">
        <v>45448966.859999999</v>
      </c>
      <c r="K4" s="2">
        <f t="shared" si="0"/>
        <v>-45448966.859999999</v>
      </c>
      <c r="L4" s="1">
        <f t="shared" si="1"/>
        <v>0</v>
      </c>
    </row>
    <row r="5" spans="1:12" ht="14.4" x14ac:dyDescent="0.25">
      <c r="A5" s="17" t="s">
        <v>81</v>
      </c>
      <c r="B5" s="17" t="s">
        <v>82</v>
      </c>
      <c r="C5" s="17" t="s">
        <v>87</v>
      </c>
      <c r="D5" s="17" t="s">
        <v>88</v>
      </c>
      <c r="E5" s="17" t="s">
        <v>15</v>
      </c>
      <c r="F5" s="18">
        <v>6729997</v>
      </c>
      <c r="G5" s="18">
        <v>227000</v>
      </c>
      <c r="H5" s="18">
        <v>0</v>
      </c>
      <c r="I5" s="17" t="s">
        <v>15</v>
      </c>
      <c r="J5" s="18">
        <v>6956997</v>
      </c>
      <c r="K5" s="2">
        <f t="shared" si="0"/>
        <v>0</v>
      </c>
      <c r="L5" s="1">
        <f t="shared" si="1"/>
        <v>6956997</v>
      </c>
    </row>
    <row r="6" spans="1:12" ht="14.4" x14ac:dyDescent="0.25">
      <c r="A6" s="17" t="s">
        <v>81</v>
      </c>
      <c r="B6" s="17" t="s">
        <v>82</v>
      </c>
      <c r="C6" s="17" t="s">
        <v>89</v>
      </c>
      <c r="D6" s="17" t="s">
        <v>41</v>
      </c>
      <c r="E6" s="17" t="s">
        <v>15</v>
      </c>
      <c r="F6" s="18">
        <v>5</v>
      </c>
      <c r="G6" s="18">
        <v>0</v>
      </c>
      <c r="H6" s="18">
        <v>0</v>
      </c>
      <c r="I6" s="17" t="s">
        <v>15</v>
      </c>
      <c r="J6" s="18">
        <v>5</v>
      </c>
      <c r="K6" s="2">
        <f t="shared" si="0"/>
        <v>0</v>
      </c>
      <c r="L6" s="1">
        <f t="shared" si="1"/>
        <v>5</v>
      </c>
    </row>
    <row r="7" spans="1:12" ht="14.4" x14ac:dyDescent="0.25">
      <c r="A7" s="17" t="s">
        <v>81</v>
      </c>
      <c r="B7" s="17" t="s">
        <v>82</v>
      </c>
      <c r="C7" s="17" t="s">
        <v>90</v>
      </c>
      <c r="D7" s="17" t="s">
        <v>91</v>
      </c>
      <c r="E7" s="17" t="s">
        <v>15</v>
      </c>
      <c r="F7" s="18">
        <v>5300</v>
      </c>
      <c r="G7" s="18">
        <v>0</v>
      </c>
      <c r="H7" s="18">
        <v>0</v>
      </c>
      <c r="I7" s="17" t="s">
        <v>15</v>
      </c>
      <c r="J7" s="18">
        <v>5300</v>
      </c>
      <c r="K7" s="2">
        <f t="shared" si="0"/>
        <v>0</v>
      </c>
      <c r="L7" s="1">
        <f t="shared" si="1"/>
        <v>5300</v>
      </c>
    </row>
    <row r="8" spans="1:12" ht="14.4" x14ac:dyDescent="0.25">
      <c r="A8" s="17" t="s">
        <v>81</v>
      </c>
      <c r="B8" s="17" t="s">
        <v>82</v>
      </c>
      <c r="C8" s="17" t="s">
        <v>92</v>
      </c>
      <c r="D8" s="17" t="s">
        <v>27</v>
      </c>
      <c r="E8" s="17" t="s">
        <v>15</v>
      </c>
      <c r="F8" s="18">
        <v>5500</v>
      </c>
      <c r="G8" s="18">
        <v>0</v>
      </c>
      <c r="H8" s="18">
        <v>0</v>
      </c>
      <c r="I8" s="17" t="s">
        <v>15</v>
      </c>
      <c r="J8" s="18">
        <v>5500</v>
      </c>
      <c r="K8" s="2">
        <f t="shared" si="0"/>
        <v>0</v>
      </c>
      <c r="L8" s="1">
        <f t="shared" si="1"/>
        <v>5500</v>
      </c>
    </row>
    <row r="9" spans="1:12" ht="14.4" x14ac:dyDescent="0.25">
      <c r="A9" s="17" t="s">
        <v>93</v>
      </c>
      <c r="B9" s="17" t="s">
        <v>94</v>
      </c>
      <c r="C9" s="17" t="s">
        <v>95</v>
      </c>
      <c r="D9" s="17" t="s">
        <v>96</v>
      </c>
      <c r="E9" s="17" t="s">
        <v>15</v>
      </c>
      <c r="F9" s="18">
        <v>16400</v>
      </c>
      <c r="G9" s="18">
        <v>0</v>
      </c>
      <c r="H9" s="18">
        <v>0</v>
      </c>
      <c r="I9" s="17" t="s">
        <v>15</v>
      </c>
      <c r="J9" s="18">
        <v>16400</v>
      </c>
      <c r="K9" s="2">
        <f t="shared" si="0"/>
        <v>0</v>
      </c>
      <c r="L9" s="1">
        <f t="shared" si="1"/>
        <v>16400</v>
      </c>
    </row>
    <row r="10" spans="1:12" ht="14.4" x14ac:dyDescent="0.25">
      <c r="A10" s="17" t="s">
        <v>93</v>
      </c>
      <c r="B10" s="17" t="s">
        <v>94</v>
      </c>
      <c r="C10" s="17" t="s">
        <v>97</v>
      </c>
      <c r="D10" s="17" t="s">
        <v>98</v>
      </c>
      <c r="E10" s="17" t="s">
        <v>15</v>
      </c>
      <c r="F10" s="18">
        <v>5000</v>
      </c>
      <c r="G10" s="18">
        <v>0</v>
      </c>
      <c r="H10" s="18">
        <v>0</v>
      </c>
      <c r="I10" s="17" t="s">
        <v>15</v>
      </c>
      <c r="J10" s="18">
        <v>5000</v>
      </c>
      <c r="K10" s="2">
        <f t="shared" si="0"/>
        <v>0</v>
      </c>
      <c r="L10" s="1">
        <f t="shared" si="1"/>
        <v>5000</v>
      </c>
    </row>
    <row r="11" spans="1:12" s="7" customFormat="1" ht="14.4" x14ac:dyDescent="0.25">
      <c r="A11" s="17" t="s">
        <v>93</v>
      </c>
      <c r="B11" s="17" t="s">
        <v>94</v>
      </c>
      <c r="C11" s="17" t="s">
        <v>99</v>
      </c>
      <c r="D11" s="17" t="s">
        <v>100</v>
      </c>
      <c r="E11" s="17" t="s">
        <v>15</v>
      </c>
      <c r="F11" s="18">
        <v>80000</v>
      </c>
      <c r="G11" s="18">
        <v>0</v>
      </c>
      <c r="H11" s="18">
        <v>80000</v>
      </c>
      <c r="I11" s="17" t="s">
        <v>14</v>
      </c>
      <c r="J11" s="18">
        <v>0</v>
      </c>
      <c r="K11" s="2">
        <f t="shared" si="0"/>
        <v>0</v>
      </c>
      <c r="L11" s="1">
        <f t="shared" si="1"/>
        <v>0</v>
      </c>
    </row>
    <row r="12" spans="1:12" x14ac:dyDescent="0.15">
      <c r="K12" s="1">
        <f>-SUM(其他应付!K2:K29)</f>
        <v>252623.47999999998</v>
      </c>
      <c r="L12" s="1">
        <f t="shared" si="1"/>
        <v>252623.47999999998</v>
      </c>
    </row>
    <row r="13" spans="1:12" x14ac:dyDescent="0.15">
      <c r="K13" s="2" t="s">
        <v>101</v>
      </c>
      <c r="L13" s="1">
        <f>SUM(L2:L12)</f>
        <v>7859015.5500000007</v>
      </c>
    </row>
    <row r="14" spans="1:12" x14ac:dyDescent="0.15">
      <c r="K14" s="2" t="s">
        <v>102</v>
      </c>
      <c r="L14" s="2">
        <v>6837.18</v>
      </c>
    </row>
    <row r="15" spans="1:12" x14ac:dyDescent="0.15">
      <c r="K15" s="2" t="s">
        <v>103</v>
      </c>
      <c r="L15" s="1">
        <f>L13-L14</f>
        <v>7852178.370000001</v>
      </c>
    </row>
  </sheetData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tabSelected="1" topLeftCell="A16" workbookViewId="0">
      <selection activeCell="L31" sqref="L31"/>
    </sheetView>
  </sheetViews>
  <sheetFormatPr defaultColWidth="8.88671875" defaultRowHeight="12" x14ac:dyDescent="0.15"/>
  <cols>
    <col min="1" max="1" width="7.88671875" style="1" customWidth="1"/>
    <col min="2" max="2" width="14" style="1" customWidth="1"/>
    <col min="3" max="3" width="7.88671875" style="1" customWidth="1"/>
    <col min="4" max="4" width="40.109375" style="1" customWidth="1"/>
    <col min="5" max="5" width="5.44140625" style="1" customWidth="1"/>
    <col min="6" max="6" width="15.88671875" style="2" customWidth="1"/>
    <col min="7" max="7" width="14.88671875" style="2" customWidth="1"/>
    <col min="8" max="8" width="15.88671875" style="2" customWidth="1"/>
    <col min="9" max="9" width="5.44140625" style="2" customWidth="1"/>
    <col min="10" max="10" width="15.88671875" style="2" customWidth="1"/>
    <col min="11" max="11" width="20.6640625" style="1" customWidth="1"/>
    <col min="12" max="12" width="19.33203125" style="1" customWidth="1"/>
    <col min="13" max="14" width="15.88671875" style="1"/>
    <col min="15" max="16384" width="8.88671875" style="1"/>
  </cols>
  <sheetData>
    <row r="1" spans="1:12" x14ac:dyDescent="0.15">
      <c r="A1" s="3" t="s">
        <v>72</v>
      </c>
      <c r="B1" s="3" t="s">
        <v>73</v>
      </c>
      <c r="C1" s="3" t="s">
        <v>74</v>
      </c>
      <c r="D1" s="3" t="s">
        <v>75</v>
      </c>
      <c r="E1" s="3" t="s">
        <v>3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  <c r="K1" s="1" t="s">
        <v>9</v>
      </c>
      <c r="L1" s="1" t="s">
        <v>104</v>
      </c>
    </row>
    <row r="2" spans="1:12" ht="14.4" x14ac:dyDescent="0.25">
      <c r="A2" s="17" t="s">
        <v>105</v>
      </c>
      <c r="B2" s="17" t="s">
        <v>106</v>
      </c>
      <c r="C2" s="17" t="s">
        <v>12</v>
      </c>
      <c r="D2" s="17" t="s">
        <v>13</v>
      </c>
      <c r="E2" s="17" t="s">
        <v>15</v>
      </c>
      <c r="F2" s="18">
        <v>45581.2</v>
      </c>
      <c r="G2" s="18">
        <v>0</v>
      </c>
      <c r="H2" s="18">
        <v>0</v>
      </c>
      <c r="I2" s="17" t="s">
        <v>15</v>
      </c>
      <c r="J2" s="18">
        <v>45581.2</v>
      </c>
      <c r="K2" s="6">
        <f t="shared" ref="K2:K17" si="0">IF(I2="借",-J2,0)</f>
        <v>-45581.2</v>
      </c>
      <c r="L2" s="1">
        <f t="shared" ref="L2:L17" si="1">J2+K2</f>
        <v>0</v>
      </c>
    </row>
    <row r="3" spans="1:12" ht="14.4" x14ac:dyDescent="0.25">
      <c r="A3" s="17" t="s">
        <v>105</v>
      </c>
      <c r="B3" s="17" t="s">
        <v>106</v>
      </c>
      <c r="C3" s="17" t="s">
        <v>28</v>
      </c>
      <c r="D3" s="17" t="s">
        <v>29</v>
      </c>
      <c r="E3" s="17" t="s">
        <v>15</v>
      </c>
      <c r="F3" s="18">
        <v>5500</v>
      </c>
      <c r="G3" s="18">
        <v>0</v>
      </c>
      <c r="H3" s="18">
        <v>0</v>
      </c>
      <c r="I3" s="17" t="s">
        <v>15</v>
      </c>
      <c r="J3" s="18">
        <v>5500</v>
      </c>
      <c r="K3" s="6">
        <f t="shared" si="0"/>
        <v>-5500</v>
      </c>
      <c r="L3" s="1">
        <f t="shared" si="1"/>
        <v>0</v>
      </c>
    </row>
    <row r="4" spans="1:12" ht="14.4" x14ac:dyDescent="0.25">
      <c r="A4" s="17" t="s">
        <v>105</v>
      </c>
      <c r="B4" s="17" t="s">
        <v>106</v>
      </c>
      <c r="C4" s="17" t="s">
        <v>107</v>
      </c>
      <c r="D4" s="17" t="s">
        <v>108</v>
      </c>
      <c r="E4" s="17" t="s">
        <v>15</v>
      </c>
      <c r="F4" s="18">
        <v>5200</v>
      </c>
      <c r="G4" s="18">
        <v>0</v>
      </c>
      <c r="H4" s="18">
        <v>0</v>
      </c>
      <c r="I4" s="17" t="s">
        <v>15</v>
      </c>
      <c r="J4" s="18">
        <v>5200</v>
      </c>
      <c r="K4" s="6">
        <f t="shared" si="0"/>
        <v>-5200</v>
      </c>
      <c r="L4" s="1">
        <f t="shared" si="1"/>
        <v>0</v>
      </c>
    </row>
    <row r="5" spans="1:12" ht="14.4" x14ac:dyDescent="0.25">
      <c r="A5" s="17" t="s">
        <v>105</v>
      </c>
      <c r="B5" s="17" t="s">
        <v>106</v>
      </c>
      <c r="C5" s="17" t="s">
        <v>109</v>
      </c>
      <c r="D5" s="17" t="s">
        <v>110</v>
      </c>
      <c r="E5" s="17" t="s">
        <v>15</v>
      </c>
      <c r="F5" s="18">
        <v>81486.7</v>
      </c>
      <c r="G5" s="18">
        <v>63704.62</v>
      </c>
      <c r="H5" s="18">
        <v>71458.039999999994</v>
      </c>
      <c r="I5" s="17" t="s">
        <v>15</v>
      </c>
      <c r="J5" s="18">
        <v>73733.279999999999</v>
      </c>
      <c r="K5" s="6">
        <f t="shared" si="0"/>
        <v>-73733.279999999999</v>
      </c>
      <c r="L5" s="1">
        <f t="shared" si="1"/>
        <v>0</v>
      </c>
    </row>
    <row r="6" spans="1:12" ht="14.4" x14ac:dyDescent="0.25">
      <c r="A6" s="17" t="s">
        <v>105</v>
      </c>
      <c r="B6" s="17" t="s">
        <v>106</v>
      </c>
      <c r="C6" s="17" t="s">
        <v>111</v>
      </c>
      <c r="D6" s="17" t="s">
        <v>112</v>
      </c>
      <c r="E6" s="17" t="s">
        <v>15</v>
      </c>
      <c r="F6" s="18">
        <v>131469</v>
      </c>
      <c r="G6" s="18">
        <v>72364</v>
      </c>
      <c r="H6" s="18">
        <v>81224</v>
      </c>
      <c r="I6" s="17" t="s">
        <v>15</v>
      </c>
      <c r="J6" s="18">
        <v>122609</v>
      </c>
      <c r="K6" s="6">
        <f t="shared" si="0"/>
        <v>-122609</v>
      </c>
      <c r="L6" s="1">
        <f t="shared" si="1"/>
        <v>0</v>
      </c>
    </row>
    <row r="7" spans="1:12" ht="14.4" x14ac:dyDescent="0.25">
      <c r="A7" s="17" t="s">
        <v>105</v>
      </c>
      <c r="B7" s="17" t="s">
        <v>106</v>
      </c>
      <c r="C7" s="17" t="s">
        <v>113</v>
      </c>
      <c r="D7" s="17" t="s">
        <v>114</v>
      </c>
      <c r="E7" s="17" t="s">
        <v>23</v>
      </c>
      <c r="F7" s="18">
        <v>0.05</v>
      </c>
      <c r="G7" s="18">
        <v>0</v>
      </c>
      <c r="H7" s="18">
        <v>0</v>
      </c>
      <c r="I7" s="17" t="s">
        <v>23</v>
      </c>
      <c r="J7" s="18">
        <v>0.05</v>
      </c>
      <c r="K7" s="6">
        <f t="shared" si="0"/>
        <v>0</v>
      </c>
      <c r="L7" s="1">
        <f t="shared" si="1"/>
        <v>0.05</v>
      </c>
    </row>
    <row r="8" spans="1:12" ht="14.4" x14ac:dyDescent="0.25">
      <c r="A8" s="17" t="s">
        <v>105</v>
      </c>
      <c r="B8" s="17" t="s">
        <v>106</v>
      </c>
      <c r="C8" s="17" t="s">
        <v>115</v>
      </c>
      <c r="D8" s="17" t="s">
        <v>116</v>
      </c>
      <c r="E8" s="17" t="s">
        <v>23</v>
      </c>
      <c r="F8" s="18">
        <v>0.02</v>
      </c>
      <c r="G8" s="18">
        <v>0</v>
      </c>
      <c r="H8" s="18">
        <v>0</v>
      </c>
      <c r="I8" s="17" t="s">
        <v>23</v>
      </c>
      <c r="J8" s="18">
        <v>0.02</v>
      </c>
      <c r="K8" s="6">
        <f t="shared" si="0"/>
        <v>0</v>
      </c>
      <c r="L8" s="1">
        <f t="shared" si="1"/>
        <v>0.02</v>
      </c>
    </row>
    <row r="9" spans="1:12" ht="14.4" x14ac:dyDescent="0.25">
      <c r="A9" s="17" t="s">
        <v>105</v>
      </c>
      <c r="B9" s="17" t="s">
        <v>106</v>
      </c>
      <c r="C9" s="17" t="s">
        <v>117</v>
      </c>
      <c r="D9" s="17" t="s">
        <v>86</v>
      </c>
      <c r="E9" s="17" t="s">
        <v>23</v>
      </c>
      <c r="F9" s="18">
        <v>89924.65</v>
      </c>
      <c r="G9" s="18">
        <v>0</v>
      </c>
      <c r="H9" s="18">
        <v>0</v>
      </c>
      <c r="I9" s="17" t="s">
        <v>23</v>
      </c>
      <c r="J9" s="18">
        <v>89924.65</v>
      </c>
      <c r="K9" s="6">
        <f t="shared" si="0"/>
        <v>0</v>
      </c>
      <c r="L9" s="1">
        <f t="shared" si="1"/>
        <v>89924.65</v>
      </c>
    </row>
    <row r="10" spans="1:12" ht="14.4" x14ac:dyDescent="0.25">
      <c r="A10" s="17" t="s">
        <v>105</v>
      </c>
      <c r="B10" s="17" t="s">
        <v>106</v>
      </c>
      <c r="C10" s="17" t="s">
        <v>118</v>
      </c>
      <c r="D10" s="17" t="s">
        <v>119</v>
      </c>
      <c r="E10" s="17" t="s">
        <v>23</v>
      </c>
      <c r="F10" s="18">
        <v>25184.799999999999</v>
      </c>
      <c r="G10" s="18">
        <v>0</v>
      </c>
      <c r="H10" s="18">
        <v>3431.07</v>
      </c>
      <c r="I10" s="17" t="s">
        <v>23</v>
      </c>
      <c r="J10" s="18">
        <v>28615.87</v>
      </c>
      <c r="K10" s="6">
        <f t="shared" si="0"/>
        <v>0</v>
      </c>
      <c r="L10" s="1">
        <f t="shared" si="1"/>
        <v>28615.87</v>
      </c>
    </row>
    <row r="11" spans="1:12" ht="14.4" x14ac:dyDescent="0.25">
      <c r="A11" s="17" t="s">
        <v>93</v>
      </c>
      <c r="B11" s="17" t="s">
        <v>94</v>
      </c>
      <c r="C11" s="17" t="s">
        <v>120</v>
      </c>
      <c r="D11" s="17" t="s">
        <v>121</v>
      </c>
      <c r="E11" s="17" t="s">
        <v>23</v>
      </c>
      <c r="F11" s="18">
        <v>6266.13</v>
      </c>
      <c r="G11" s="18">
        <v>0</v>
      </c>
      <c r="H11" s="18">
        <v>0</v>
      </c>
      <c r="I11" s="17" t="s">
        <v>23</v>
      </c>
      <c r="J11" s="18">
        <v>6266.13</v>
      </c>
      <c r="K11" s="6">
        <f t="shared" si="0"/>
        <v>0</v>
      </c>
      <c r="L11" s="1">
        <f t="shared" si="1"/>
        <v>6266.13</v>
      </c>
    </row>
    <row r="12" spans="1:12" ht="14.4" x14ac:dyDescent="0.25">
      <c r="A12" s="17" t="s">
        <v>93</v>
      </c>
      <c r="B12" s="17" t="s">
        <v>94</v>
      </c>
      <c r="C12" s="17" t="s">
        <v>122</v>
      </c>
      <c r="D12" s="17" t="s">
        <v>123</v>
      </c>
      <c r="E12" s="17" t="s">
        <v>23</v>
      </c>
      <c r="F12" s="18">
        <v>71435.47</v>
      </c>
      <c r="G12" s="18">
        <v>78244.12</v>
      </c>
      <c r="H12" s="18">
        <v>50427.33</v>
      </c>
      <c r="I12" s="17" t="s">
        <v>23</v>
      </c>
      <c r="J12" s="18">
        <v>43618.68</v>
      </c>
      <c r="K12" s="6">
        <f t="shared" si="0"/>
        <v>0</v>
      </c>
      <c r="L12" s="1">
        <f t="shared" si="1"/>
        <v>43618.68</v>
      </c>
    </row>
    <row r="13" spans="1:12" ht="14.4" x14ac:dyDescent="0.25">
      <c r="A13" s="17" t="s">
        <v>93</v>
      </c>
      <c r="B13" s="17" t="s">
        <v>94</v>
      </c>
      <c r="C13" s="17" t="s">
        <v>95</v>
      </c>
      <c r="D13" s="17" t="s">
        <v>96</v>
      </c>
      <c r="E13" s="17" t="s">
        <v>14</v>
      </c>
      <c r="F13" s="18">
        <v>0</v>
      </c>
      <c r="G13" s="18">
        <v>0</v>
      </c>
      <c r="H13" s="18">
        <v>3273.5</v>
      </c>
      <c r="I13" s="17" t="s">
        <v>23</v>
      </c>
      <c r="J13" s="18">
        <v>3273.5</v>
      </c>
      <c r="K13" s="6">
        <f t="shared" si="0"/>
        <v>0</v>
      </c>
      <c r="L13" s="1">
        <f t="shared" si="1"/>
        <v>3273.5</v>
      </c>
    </row>
    <row r="14" spans="1:12" ht="14.4" x14ac:dyDescent="0.25">
      <c r="A14" s="17" t="s">
        <v>93</v>
      </c>
      <c r="B14" s="17" t="s">
        <v>94</v>
      </c>
      <c r="C14" s="17" t="s">
        <v>97</v>
      </c>
      <c r="D14" s="17" t="s">
        <v>98</v>
      </c>
      <c r="E14" s="17" t="s">
        <v>14</v>
      </c>
      <c r="F14" s="18">
        <v>0</v>
      </c>
      <c r="G14" s="18">
        <v>976.3</v>
      </c>
      <c r="H14" s="18">
        <v>8730.52</v>
      </c>
      <c r="I14" s="17" t="s">
        <v>23</v>
      </c>
      <c r="J14" s="18">
        <v>7754.22</v>
      </c>
      <c r="K14" s="6">
        <f t="shared" si="0"/>
        <v>0</v>
      </c>
      <c r="L14" s="1">
        <f t="shared" si="1"/>
        <v>7754.22</v>
      </c>
    </row>
    <row r="15" spans="1:12" ht="14.4" x14ac:dyDescent="0.25">
      <c r="A15" s="17" t="s">
        <v>93</v>
      </c>
      <c r="B15" s="17" t="s">
        <v>94</v>
      </c>
      <c r="C15" s="17" t="s">
        <v>124</v>
      </c>
      <c r="D15" s="17" t="s">
        <v>125</v>
      </c>
      <c r="E15" s="17" t="s">
        <v>23</v>
      </c>
      <c r="F15" s="18">
        <v>9675.2800000000007</v>
      </c>
      <c r="G15" s="18">
        <v>0</v>
      </c>
      <c r="H15" s="18">
        <v>5968.53</v>
      </c>
      <c r="I15" s="17" t="s">
        <v>23</v>
      </c>
      <c r="J15" s="18">
        <v>15643.81</v>
      </c>
      <c r="K15" s="6">
        <f t="shared" si="0"/>
        <v>0</v>
      </c>
      <c r="L15" s="1">
        <f t="shared" si="1"/>
        <v>15643.81</v>
      </c>
    </row>
    <row r="16" spans="1:12" ht="14.4" x14ac:dyDescent="0.25">
      <c r="A16" s="17" t="s">
        <v>93</v>
      </c>
      <c r="B16" s="17" t="s">
        <v>94</v>
      </c>
      <c r="C16" s="17" t="s">
        <v>99</v>
      </c>
      <c r="D16" s="17" t="s">
        <v>100</v>
      </c>
      <c r="E16" s="17" t="s">
        <v>23</v>
      </c>
      <c r="F16" s="18">
        <v>6561.12</v>
      </c>
      <c r="G16" s="18">
        <v>0</v>
      </c>
      <c r="H16" s="18">
        <v>2179.77</v>
      </c>
      <c r="I16" s="17" t="s">
        <v>23</v>
      </c>
      <c r="J16" s="18">
        <v>8740.89</v>
      </c>
      <c r="K16" s="6">
        <f t="shared" si="0"/>
        <v>0</v>
      </c>
      <c r="L16" s="1">
        <f t="shared" si="1"/>
        <v>8740.89</v>
      </c>
    </row>
    <row r="17" spans="1:12" ht="14.4" x14ac:dyDescent="0.25">
      <c r="A17" s="17" t="s">
        <v>93</v>
      </c>
      <c r="B17" s="17" t="s">
        <v>94</v>
      </c>
      <c r="C17" s="17" t="s">
        <v>126</v>
      </c>
      <c r="D17" s="17" t="s">
        <v>127</v>
      </c>
      <c r="E17" s="17" t="s">
        <v>23</v>
      </c>
      <c r="F17" s="18">
        <v>1353</v>
      </c>
      <c r="G17" s="18">
        <v>0</v>
      </c>
      <c r="H17" s="18">
        <v>4143.71</v>
      </c>
      <c r="I17" s="17" t="s">
        <v>23</v>
      </c>
      <c r="J17" s="18">
        <v>5496.71</v>
      </c>
      <c r="K17" s="6">
        <f t="shared" si="0"/>
        <v>0</v>
      </c>
      <c r="L17" s="1">
        <f t="shared" si="1"/>
        <v>5496.71</v>
      </c>
    </row>
    <row r="18" spans="1:12" ht="14.4" x14ac:dyDescent="0.25">
      <c r="A18" s="17" t="s">
        <v>93</v>
      </c>
      <c r="B18" s="17" t="s">
        <v>94</v>
      </c>
      <c r="C18" s="17" t="s">
        <v>128</v>
      </c>
      <c r="D18" s="17" t="s">
        <v>129</v>
      </c>
      <c r="E18" s="17" t="s">
        <v>23</v>
      </c>
      <c r="F18" s="18">
        <v>3185.9</v>
      </c>
      <c r="G18" s="18">
        <v>0</v>
      </c>
      <c r="H18" s="18">
        <v>2144.5</v>
      </c>
      <c r="I18" s="17" t="s">
        <v>23</v>
      </c>
      <c r="J18" s="18">
        <v>5330.4</v>
      </c>
      <c r="K18" s="6">
        <f t="shared" ref="K18:K29" si="2">IF(I18="借",-J18,0)</f>
        <v>0</v>
      </c>
      <c r="L18" s="1">
        <f t="shared" ref="L18:L29" si="3">J18+K18</f>
        <v>5330.4</v>
      </c>
    </row>
    <row r="19" spans="1:12" ht="14.4" x14ac:dyDescent="0.25">
      <c r="A19" s="17" t="s">
        <v>93</v>
      </c>
      <c r="B19" s="17" t="s">
        <v>94</v>
      </c>
      <c r="C19" s="17" t="s">
        <v>130</v>
      </c>
      <c r="D19" s="17" t="s">
        <v>131</v>
      </c>
      <c r="E19" s="17" t="s">
        <v>23</v>
      </c>
      <c r="F19" s="18">
        <v>914.66</v>
      </c>
      <c r="G19" s="18">
        <v>0</v>
      </c>
      <c r="H19" s="18">
        <v>512.08000000000004</v>
      </c>
      <c r="I19" s="17" t="s">
        <v>23</v>
      </c>
      <c r="J19" s="18">
        <v>1426.74</v>
      </c>
      <c r="K19" s="6">
        <f t="shared" si="2"/>
        <v>0</v>
      </c>
      <c r="L19" s="1">
        <f t="shared" si="3"/>
        <v>1426.74</v>
      </c>
    </row>
    <row r="20" spans="1:12" ht="14.4" x14ac:dyDescent="0.25">
      <c r="A20" s="17" t="s">
        <v>93</v>
      </c>
      <c r="B20" s="17" t="s">
        <v>94</v>
      </c>
      <c r="C20" s="17" t="s">
        <v>132</v>
      </c>
      <c r="D20" s="17" t="s">
        <v>133</v>
      </c>
      <c r="E20" s="17" t="s">
        <v>23</v>
      </c>
      <c r="F20" s="18">
        <v>2082.92</v>
      </c>
      <c r="G20" s="18">
        <v>0</v>
      </c>
      <c r="H20" s="18">
        <v>174.78</v>
      </c>
      <c r="I20" s="17" t="s">
        <v>23</v>
      </c>
      <c r="J20" s="18">
        <v>2257.6999999999998</v>
      </c>
      <c r="K20" s="6">
        <f t="shared" si="2"/>
        <v>0</v>
      </c>
      <c r="L20" s="1">
        <f t="shared" si="3"/>
        <v>2257.6999999999998</v>
      </c>
    </row>
    <row r="21" spans="1:12" ht="14.4" x14ac:dyDescent="0.25">
      <c r="A21" s="17" t="s">
        <v>93</v>
      </c>
      <c r="B21" s="17" t="s">
        <v>94</v>
      </c>
      <c r="C21" s="17" t="s">
        <v>134</v>
      </c>
      <c r="D21" s="17" t="s">
        <v>135</v>
      </c>
      <c r="E21" s="17" t="s">
        <v>14</v>
      </c>
      <c r="F21" s="18">
        <v>0</v>
      </c>
      <c r="G21" s="18">
        <v>0</v>
      </c>
      <c r="H21" s="18">
        <v>11090.7</v>
      </c>
      <c r="I21" s="17" t="s">
        <v>23</v>
      </c>
      <c r="J21" s="18">
        <v>11090.7</v>
      </c>
      <c r="K21" s="6">
        <f t="shared" si="2"/>
        <v>0</v>
      </c>
      <c r="L21" s="1">
        <f t="shared" si="3"/>
        <v>11090.7</v>
      </c>
    </row>
    <row r="22" spans="1:12" ht="14.4" x14ac:dyDescent="0.25">
      <c r="A22" s="17" t="s">
        <v>93</v>
      </c>
      <c r="B22" s="17" t="s">
        <v>94</v>
      </c>
      <c r="C22" s="17" t="s">
        <v>136</v>
      </c>
      <c r="D22" s="17" t="s">
        <v>137</v>
      </c>
      <c r="E22" s="17" t="s">
        <v>23</v>
      </c>
      <c r="F22" s="18">
        <v>164.98</v>
      </c>
      <c r="G22" s="18">
        <v>0</v>
      </c>
      <c r="H22" s="18">
        <v>142.99</v>
      </c>
      <c r="I22" s="17" t="s">
        <v>23</v>
      </c>
      <c r="J22" s="18">
        <v>307.97000000000003</v>
      </c>
      <c r="K22" s="6">
        <f t="shared" si="2"/>
        <v>0</v>
      </c>
      <c r="L22" s="1">
        <f t="shared" si="3"/>
        <v>307.97000000000003</v>
      </c>
    </row>
    <row r="23" spans="1:12" ht="14.4" x14ac:dyDescent="0.25">
      <c r="A23" s="17" t="s">
        <v>138</v>
      </c>
      <c r="B23" s="17" t="s">
        <v>139</v>
      </c>
      <c r="C23" s="17" t="s">
        <v>140</v>
      </c>
      <c r="D23" s="17" t="s">
        <v>141</v>
      </c>
      <c r="E23" s="17" t="s">
        <v>23</v>
      </c>
      <c r="F23" s="18">
        <v>29932.93</v>
      </c>
      <c r="G23" s="18">
        <v>0</v>
      </c>
      <c r="H23" s="18">
        <v>38654.03</v>
      </c>
      <c r="I23" s="17" t="s">
        <v>23</v>
      </c>
      <c r="J23" s="18">
        <v>68586.960000000006</v>
      </c>
      <c r="K23" s="6">
        <f t="shared" si="2"/>
        <v>0</v>
      </c>
      <c r="L23" s="1">
        <f t="shared" si="3"/>
        <v>68586.960000000006</v>
      </c>
    </row>
    <row r="24" spans="1:12" ht="14.4" x14ac:dyDescent="0.25">
      <c r="A24" s="17" t="s">
        <v>138</v>
      </c>
      <c r="B24" s="17" t="s">
        <v>139</v>
      </c>
      <c r="C24" s="17" t="s">
        <v>142</v>
      </c>
      <c r="D24" s="17" t="s">
        <v>143</v>
      </c>
      <c r="E24" s="17" t="s">
        <v>23</v>
      </c>
      <c r="F24" s="18">
        <v>2000</v>
      </c>
      <c r="G24" s="18">
        <v>2000</v>
      </c>
      <c r="H24" s="18">
        <v>0</v>
      </c>
      <c r="I24" s="17" t="s">
        <v>14</v>
      </c>
      <c r="J24" s="18">
        <v>0</v>
      </c>
      <c r="K24" s="6">
        <f t="shared" si="2"/>
        <v>0</v>
      </c>
      <c r="L24" s="1">
        <f t="shared" si="3"/>
        <v>0</v>
      </c>
    </row>
    <row r="25" spans="1:12" ht="14.4" x14ac:dyDescent="0.25">
      <c r="A25" s="17" t="s">
        <v>144</v>
      </c>
      <c r="B25" s="17" t="s">
        <v>145</v>
      </c>
      <c r="C25" s="17" t="s">
        <v>146</v>
      </c>
      <c r="D25" s="17" t="s">
        <v>147</v>
      </c>
      <c r="E25" s="17" t="s">
        <v>23</v>
      </c>
      <c r="F25" s="18">
        <v>14163.18</v>
      </c>
      <c r="G25" s="18">
        <v>2854.7</v>
      </c>
      <c r="H25" s="18">
        <v>8316.51</v>
      </c>
      <c r="I25" s="17" t="s">
        <v>23</v>
      </c>
      <c r="J25" s="18">
        <v>19624.990000000002</v>
      </c>
      <c r="K25" s="6">
        <f t="shared" si="2"/>
        <v>0</v>
      </c>
      <c r="L25" s="1">
        <f t="shared" si="3"/>
        <v>19624.990000000002</v>
      </c>
    </row>
    <row r="26" spans="1:12" ht="14.4" x14ac:dyDescent="0.25">
      <c r="A26" s="17" t="s">
        <v>144</v>
      </c>
      <c r="B26" s="17" t="s">
        <v>145</v>
      </c>
      <c r="C26" s="17" t="s">
        <v>148</v>
      </c>
      <c r="D26" s="17" t="s">
        <v>149</v>
      </c>
      <c r="E26" s="17" t="s">
        <v>23</v>
      </c>
      <c r="F26" s="18">
        <v>2900</v>
      </c>
      <c r="G26" s="18">
        <v>0</v>
      </c>
      <c r="H26" s="18">
        <v>11769</v>
      </c>
      <c r="I26" s="17" t="s">
        <v>23</v>
      </c>
      <c r="J26" s="18">
        <v>14669</v>
      </c>
      <c r="K26" s="6">
        <f t="shared" si="2"/>
        <v>0</v>
      </c>
      <c r="L26" s="1">
        <f t="shared" si="3"/>
        <v>14669</v>
      </c>
    </row>
    <row r="27" spans="1:12" ht="14.4" x14ac:dyDescent="0.25">
      <c r="A27" s="17" t="s">
        <v>150</v>
      </c>
      <c r="B27" s="17" t="s">
        <v>151</v>
      </c>
      <c r="C27" s="17" t="s">
        <v>152</v>
      </c>
      <c r="D27" s="17" t="s">
        <v>153</v>
      </c>
      <c r="E27" s="17" t="s">
        <v>23</v>
      </c>
      <c r="F27" s="18">
        <v>9644.31</v>
      </c>
      <c r="G27" s="18">
        <v>0</v>
      </c>
      <c r="H27" s="18">
        <v>7212.97</v>
      </c>
      <c r="I27" s="17" t="s">
        <v>23</v>
      </c>
      <c r="J27" s="18">
        <v>16857.28</v>
      </c>
      <c r="K27" s="6">
        <f t="shared" si="2"/>
        <v>0</v>
      </c>
      <c r="L27" s="1">
        <f t="shared" si="3"/>
        <v>16857.28</v>
      </c>
    </row>
    <row r="28" spans="1:12" ht="14.4" x14ac:dyDescent="0.25">
      <c r="A28" s="17" t="s">
        <v>154</v>
      </c>
      <c r="B28" s="17" t="s">
        <v>155</v>
      </c>
      <c r="C28" s="17" t="s">
        <v>156</v>
      </c>
      <c r="D28" s="17" t="s">
        <v>157</v>
      </c>
      <c r="E28" s="17" t="s">
        <v>14</v>
      </c>
      <c r="F28" s="18">
        <v>0</v>
      </c>
      <c r="G28" s="18">
        <v>0</v>
      </c>
      <c r="H28" s="18">
        <v>9734.9500000000007</v>
      </c>
      <c r="I28" s="17" t="s">
        <v>23</v>
      </c>
      <c r="J28" s="18">
        <v>9734.9500000000007</v>
      </c>
      <c r="K28" s="6">
        <f t="shared" si="2"/>
        <v>0</v>
      </c>
      <c r="L28" s="1">
        <f t="shared" si="3"/>
        <v>9734.9500000000007</v>
      </c>
    </row>
    <row r="29" spans="1:12" ht="14.4" x14ac:dyDescent="0.25">
      <c r="A29" s="17" t="s">
        <v>154</v>
      </c>
      <c r="B29" s="17" t="s">
        <v>155</v>
      </c>
      <c r="C29" s="17" t="s">
        <v>172</v>
      </c>
      <c r="D29" s="17" t="s">
        <v>173</v>
      </c>
      <c r="E29" s="17" t="s">
        <v>14</v>
      </c>
      <c r="F29" s="18">
        <v>0</v>
      </c>
      <c r="G29" s="18">
        <v>0</v>
      </c>
      <c r="H29" s="18">
        <v>6216.33</v>
      </c>
      <c r="I29" s="17" t="s">
        <v>23</v>
      </c>
      <c r="J29" s="18">
        <v>6216.33</v>
      </c>
      <c r="K29" s="6">
        <f t="shared" si="2"/>
        <v>0</v>
      </c>
      <c r="L29" s="1">
        <f t="shared" si="3"/>
        <v>6216.33</v>
      </c>
    </row>
    <row r="30" spans="1:12" x14ac:dyDescent="0.15">
      <c r="K30" s="1">
        <f>-SUM(其他应收!K2:K11)</f>
        <v>45448966.859999999</v>
      </c>
      <c r="L30" s="1">
        <f t="shared" ref="L30" si="4">J30+K30</f>
        <v>45448966.859999999</v>
      </c>
    </row>
    <row r="31" spans="1:12" x14ac:dyDescent="0.15">
      <c r="L31" s="1">
        <f>SUM(L2:L30)</f>
        <v>45814404.409999996</v>
      </c>
    </row>
  </sheetData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预付账款</vt:lpstr>
      <vt:lpstr>应付账款</vt:lpstr>
      <vt:lpstr>其他应收</vt:lpstr>
      <vt:lpstr>其他应付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5uwo</dc:creator>
  <cp:lastModifiedBy>堂洲 张</cp:lastModifiedBy>
  <dcterms:created xsi:type="dcterms:W3CDTF">2024-06-06T08:44:00Z</dcterms:created>
  <dcterms:modified xsi:type="dcterms:W3CDTF">2025-03-18T08:42:59Z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1FEB625B7AC34B048962722EBC870198_11</vt:lpwstr>
  </property>
  <property fmtid="{D5CDD505-2E9C-101B-9397-08002B2CF9AE}" pid="3" name="KSOProductBuildVer">
    <vt:lpwstr>2052-12.1.0.19302</vt:lpwstr>
  </property>
</Properties>
</file>
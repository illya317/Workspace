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gener\Desktop\财务报表\25年财报\"/>
    </mc:Choice>
  </mc:AlternateContent>
  <xr:revisionPtr revIDLastSave="0" documentId="13_ncr:1_{575B4752-C8E7-4121-9383-F4E7EEE85570}" xr6:coauthVersionLast="47" xr6:coauthVersionMax="47" xr10:uidLastSave="{00000000-0000-0000-0000-000000000000}"/>
  <bookViews>
    <workbookView xWindow="-108" yWindow="-108" windowWidth="23256" windowHeight="12456" tabRatio="601" activeTab="2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 l="1"/>
  <c r="C16" i="2"/>
  <c r="C22" i="2"/>
  <c r="B22" i="2"/>
  <c r="E40" i="1"/>
  <c r="E39" i="1"/>
  <c r="B39" i="1"/>
  <c r="F38" i="1"/>
  <c r="E38" i="1"/>
  <c r="C38" i="1"/>
  <c r="B38" i="1"/>
  <c r="E29" i="1"/>
  <c r="F28" i="1"/>
  <c r="E28" i="1"/>
  <c r="F18" i="1"/>
  <c r="E18" i="1"/>
  <c r="C17" i="1"/>
  <c r="B17" i="1"/>
  <c r="F29" i="1" l="1"/>
  <c r="C39" i="1"/>
  <c r="F39" i="1"/>
  <c r="F40" i="1" s="1"/>
</calcChain>
</file>

<file path=xl/sharedStrings.xml><?xml version="1.0" encoding="utf-8"?>
<sst xmlns="http://schemas.openxmlformats.org/spreadsheetml/2006/main" count="153" uniqueCount="143">
  <si>
    <t>资 产 负 债 表</t>
  </si>
  <si>
    <t>编制单位：上海丰华天力通生物医药有限公司</t>
  </si>
  <si>
    <t>单位：元</t>
  </si>
  <si>
    <t>资    产</t>
  </si>
  <si>
    <t>年初余额</t>
  </si>
  <si>
    <t>期末余额</t>
  </si>
  <si>
    <t>负债及所有者权益（或股东权益）</t>
  </si>
  <si>
    <t>流动资产：</t>
  </si>
  <si>
    <t>流动负债：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</si>
  <si>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</si>
  <si>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</si>
  <si>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</si>
  <si>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</si>
  <si>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</si>
  <si>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</si>
  <si>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</si>
  <si>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</si>
  <si>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</si>
  <si>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</si>
  <si>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</si>
  <si>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</si>
  <si>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 xml:space="preserve">    应收利息</t>
  </si>
  <si>
    <t xml:space="preserve">    应付职工薪酬</t>
  </si>
  <si>
    <t xml:space="preserve">    应收股利</t>
  </si>
  <si>
    <t xml:space="preserve">    应交税费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</si>
  <si>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</si>
  <si>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</si>
  <si>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</si>
  <si>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</si>
  <si>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</si>
  <si>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其他应付款</t>
  </si>
  <si>
    <t xml:space="preserve">    其他流动资产</t>
  </si>
  <si>
    <t xml:space="preserve">    一年内到期的非流动负债</t>
  </si>
  <si>
    <t>流动资产合计</t>
  </si>
  <si>
    <t xml:space="preserve">     其他流动负债</t>
  </si>
  <si>
    <t>非流动资产：</t>
  </si>
  <si>
    <t>流动负债合计</t>
  </si>
  <si>
    <t xml:space="preserve">    债权投资</t>
  </si>
  <si>
    <t>非流动负债：</t>
  </si>
  <si>
    <t xml:space="preserve">    其他债权投资</t>
  </si>
  <si>
    <t xml:space="preserve">    长期借款</t>
  </si>
  <si>
    <t xml:space="preserve">    长期应收款</t>
  </si>
  <si>
    <t xml:space="preserve">    应付债券</t>
  </si>
  <si>
    <t xml:space="preserve">    长期股权投资</t>
  </si>
  <si>
    <t xml:space="preserve">    长期应付款</t>
  </si>
  <si>
    <t xml:space="preserve">    其他权益工具投资</t>
  </si>
  <si>
    <t xml:space="preserve">    专项应付款</t>
  </si>
  <si>
    <t xml:space="preserve">    其他非流动金融资产</t>
  </si>
  <si>
    <t xml:space="preserve">    预计负债</t>
  </si>
  <si>
    <t xml:space="preserve">    投资性房地产</t>
  </si>
  <si>
    <t xml:space="preserve">    租赁负债</t>
  </si>
  <si>
    <t xml:space="preserve">    固定资产</t>
  </si>
  <si>
    <t xml:space="preserve">    递延所得税负债</t>
  </si>
  <si>
    <t xml:space="preserve">    在建工程</t>
  </si>
  <si>
    <t xml:space="preserve">    其他非流动负债</t>
  </si>
  <si>
    <t xml:space="preserve">    固定资产清理</t>
  </si>
  <si>
    <t>非流动负债合计</t>
  </si>
  <si>
    <t xml:space="preserve">    生产性生物资产</t>
  </si>
  <si>
    <t>负债合计</t>
  </si>
  <si>
    <t xml:space="preserve">    油气资产</t>
  </si>
  <si>
    <t>所有者权益(或股东权益)：</t>
  </si>
  <si>
    <t xml:space="preserve">    无形资产</t>
  </si>
  <si>
    <t xml:space="preserve">    实收资本(或股本)</t>
  </si>
  <si>
    <t xml:space="preserve">    开发支出</t>
  </si>
  <si>
    <t xml:space="preserve">    其他权益工具</t>
  </si>
  <si>
    <t xml:space="preserve">    商誉</t>
  </si>
  <si>
    <t xml:space="preserve">    资本公积</t>
  </si>
  <si>
    <t xml:space="preserve">    长期待摊费用</t>
  </si>
  <si>
    <t xml:space="preserve">    减：库存股</t>
  </si>
  <si>
    <t xml:space="preserve">    递延所得税资产</t>
  </si>
  <si>
    <t xml:space="preserve">    其他综合收益</t>
  </si>
  <si>
    <t xml:space="preserve">    其他非流动资产</t>
  </si>
  <si>
    <t xml:space="preserve">    盈余公积</t>
  </si>
  <si>
    <t xml:space="preserve">    使用权资产</t>
  </si>
  <si>
    <t xml:space="preserve">    未分配利润</t>
  </si>
  <si>
    <t>非流动资产合计</t>
  </si>
  <si>
    <t>所有者权益(或股东权益)合计</t>
  </si>
  <si>
    <t>资产总计</t>
  </si>
  <si>
    <t>负债和所有者权益(或股东权益)总计</t>
  </si>
  <si>
    <t>利  润  表</t>
  </si>
  <si>
    <t>2025年</t>
  </si>
  <si>
    <t>项       目</t>
  </si>
  <si>
    <t>2024年金额</t>
  </si>
  <si>
    <t>2025年金额</t>
  </si>
  <si>
    <t>一、营业收入</t>
  </si>
  <si>
    <t xml:space="preserve">    减：营业成本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</si>
  <si>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</si>
  <si>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</si>
  <si>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</si>
  <si>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</si>
  <si>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</si>
  <si>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信用减值损失</t>
  </si>
  <si>
    <t xml:space="preserve">    加：公允价值变动收益（损失以"-"填列）</t>
  </si>
  <si>
    <t xml:space="preserve">        投资收益（损失以"-"填列）</t>
  </si>
  <si>
    <t xml:space="preserve">        其中：对联营企业和合营企业的投资收益</t>
  </si>
  <si>
    <t xml:space="preserve">        其他收益</t>
  </si>
  <si>
    <t>二、营业利润（亏损以"－"号填列）</t>
  </si>
  <si>
    <t xml:space="preserve">    加：营业外收入</t>
  </si>
  <si>
    <t xml:space="preserve">    减：营业外支出</t>
  </si>
  <si>
    <t xml:space="preserve">    其中：非流动资产处置损失</t>
  </si>
  <si>
    <t>三、利润总额（亏损总额以"－"号填列）</t>
  </si>
  <si>
    <t xml:space="preserve">    减：所得税费用</t>
  </si>
  <si>
    <t>四、净利润（净亏损以"－"号填列）</t>
  </si>
  <si>
    <t>五、每股收益：</t>
  </si>
  <si>
    <t>（一）基本每股收益</t>
  </si>
  <si>
    <t>（二）稀释每股收益</t>
  </si>
  <si>
    <t>现金流量表</t>
  </si>
  <si>
    <t xml:space="preserve">  单位：元</t>
  </si>
  <si>
    <t>项目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</si>
  <si>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</si>
  <si>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</si>
  <si>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</si>
  <si>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收到的其他与经营活动有关的现金</t>
  </si>
  <si>
    <t>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</si>
  <si>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</si>
  <si>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</si>
  <si>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</si>
  <si>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支付的其他与经营活动有关的现金</t>
  </si>
  <si>
    <t>现金流出小计</t>
  </si>
  <si>
    <t xml:space="preserve">    经营活动产生的现金流量净额</t>
  </si>
  <si>
    <t>二、投资活动产生的现金流量：</t>
  </si>
  <si>
    <t xml:space="preserve">    收回投资所收到的现金</t>
  </si>
  <si>
    <t xml:space="preserve">    取得投资收益所收到的现金</t>
  </si>
  <si>
    <t xml:space="preserve">    处置固定资产、无形资产和其他长期资产所收回的现金净额</t>
  </si>
  <si>
    <t xml:space="preserve">    收到的其他与投资活动有关的现金</t>
  </si>
  <si>
    <t xml:space="preserve">    购建固定资产、无形资产和其他长期资产所支付的现金</t>
  </si>
  <si>
    <t xml:space="preserve">    投资所支付的现金</t>
  </si>
  <si>
    <t xml:space="preserve">    支付的其他与投资活动有关的现金</t>
  </si>
  <si>
    <t xml:space="preserve">   投资活动产生的现金流量净额</t>
  </si>
  <si>
    <t>三、筹资活动产生的现金流量：</t>
  </si>
  <si>
    <t xml:space="preserve">    吸收投资所收到的现金</t>
  </si>
  <si>
    <t xml:space="preserve">    借款所收到的现金</t>
  </si>
  <si>
    <t xml:space="preserve">    收到的其他与筹资活动有关的现金</t>
  </si>
  <si>
    <t xml:space="preserve">    偿还债务所支付的现金</t>
  </si>
  <si>
    <t xml:space="preserve">    分配股利、利润或偿付利息所支付的现金</t>
  </si>
  <si>
    <t xml:space="preserve">    支付的其他与筹资活动有关的现金</t>
  </si>
  <si>
    <t xml:space="preserve">    筹资活动产生的现金流量净额</t>
  </si>
  <si>
    <t>四、汇率变动对现金的影响</t>
  </si>
  <si>
    <t>五、现金及现金等价物净增加额</t>
  </si>
  <si>
    <t>加：期初现金及现金等价物余额</t>
  </si>
  <si>
    <t>期末现金及现金等价物余额</t>
  </si>
  <si>
    <t>2024年金额</t>
    <phoneticPr fontId="25" type="noConversion"/>
  </si>
  <si>
    <t>2025年金额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</si>
</sst>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7" formatCode="[$-F800]dddd\,\ mmmm\ dd\,\ yyyy"/>
    <numFmt numFmtId="178" formatCode="##,###.00"/>
    <numFmt numFmtId="179" formatCode="#,##0.00_ "/>
  </numFmts>
  <fonts count="26">
    <font>
      <sz val="11"/>
      <color theme="1"/>
      <name val="宋体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12"/>
      <name val="宋体"/>
      <family val="3"/>
      <charset val="134"/>
    </font>
    <font>
      <b/>
      <sz val="18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2"/>
      <color indexed="8"/>
      <name val="黑体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20"/>
      <color indexed="8"/>
      <name val="楷体_GB2312"/>
      <charset val="134"/>
    </font>
    <font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12"/>
      <name val="宋体"/>
      <family val="3"/>
      <charset val="134"/>
    </font>
    <font>
      <b/>
      <sz val="20"/>
      <color indexed="8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2" fillId="0" borderId="0" xfId="2" applyAlignment="1"/>
    <xf numFmtId="0" fontId="4" fillId="0" borderId="0" xfId="2" applyFont="1">
      <alignment vertical="center"/>
    </xf>
    <xf numFmtId="0" fontId="5" fillId="0" borderId="0" xfId="2" applyFont="1" applyAlignment="1"/>
    <xf numFmtId="0" fontId="6" fillId="0" borderId="0" xfId="2" applyFont="1" applyAlignment="1"/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49" fontId="4" fillId="0" borderId="0" xfId="2" applyNumberFormat="1" applyFont="1">
      <alignment vertical="center"/>
    </xf>
    <xf numFmtId="49" fontId="10" fillId="0" borderId="0" xfId="2" applyNumberFormat="1" applyFont="1" applyAlignment="1">
      <alignment horizontal="right" vertical="justify"/>
    </xf>
    <xf numFmtId="0" fontId="3" fillId="0" borderId="1" xfId="2" applyFont="1" applyBorder="1" applyAlignment="1">
      <alignment horizontal="center" vertical="center"/>
    </xf>
    <xf numFmtId="43" fontId="11" fillId="0" borderId="1" xfId="3" applyFont="1" applyBorder="1" applyAlignment="1">
      <alignment horizontal="center" vertical="center"/>
    </xf>
    <xf numFmtId="0" fontId="3" fillId="0" borderId="1" xfId="2" applyFont="1" applyBorder="1">
      <alignment vertical="center"/>
    </xf>
    <xf numFmtId="43" fontId="6" fillId="0" borderId="1" xfId="1" applyFont="1" applyBorder="1" applyAlignment="1"/>
    <xf numFmtId="0" fontId="8" fillId="0" borderId="1" xfId="2" applyFont="1" applyBorder="1">
      <alignment vertical="center"/>
    </xf>
    <xf numFmtId="43" fontId="12" fillId="0" borderId="1" xfId="1" applyFont="1" applyBorder="1" applyAlignment="1"/>
    <xf numFmtId="43" fontId="5" fillId="0" borderId="1" xfId="1" applyFont="1" applyBorder="1" applyAlignment="1"/>
    <xf numFmtId="43" fontId="13" fillId="0" borderId="1" xfId="1" applyFont="1" applyBorder="1" applyAlignment="1"/>
    <xf numFmtId="43" fontId="6" fillId="0" borderId="0" xfId="2" applyNumberFormat="1" applyFont="1" applyAlignment="1"/>
    <xf numFmtId="0" fontId="6" fillId="0" borderId="1" xfId="2" applyFont="1" applyBorder="1">
      <alignment vertical="center"/>
    </xf>
    <xf numFmtId="0" fontId="5" fillId="0" borderId="1" xfId="2" applyFont="1" applyBorder="1">
      <alignment vertical="center"/>
    </xf>
    <xf numFmtId="43" fontId="5" fillId="0" borderId="1" xfId="3" applyFont="1" applyBorder="1" applyAlignment="1">
      <alignment horizontal="center" vertical="center"/>
    </xf>
    <xf numFmtId="43" fontId="13" fillId="0" borderId="1" xfId="3" applyFont="1" applyBorder="1" applyAlignment="1">
      <alignment horizontal="center" vertical="center"/>
    </xf>
    <xf numFmtId="0" fontId="8" fillId="0" borderId="0" xfId="0" applyFont="1">
      <alignment vertical="center"/>
    </xf>
    <xf numFmtId="49" fontId="14" fillId="0" borderId="0" xfId="0" applyNumberFormat="1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Alignment="1">
      <alignment horizontal="right" vertical="justify"/>
    </xf>
    <xf numFmtId="49" fontId="11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justify" vertical="center"/>
    </xf>
    <xf numFmtId="43" fontId="3" fillId="0" borderId="1" xfId="1" applyFont="1" applyBorder="1" applyAlignment="1">
      <alignment horizontal="right" vertical="center"/>
    </xf>
    <xf numFmtId="0" fontId="8" fillId="0" borderId="1" xfId="0" applyFont="1" applyBorder="1">
      <alignment vertical="center"/>
    </xf>
    <xf numFmtId="43" fontId="8" fillId="0" borderId="0" xfId="0" applyNumberFormat="1" applyFont="1">
      <alignment vertical="center"/>
    </xf>
    <xf numFmtId="43" fontId="17" fillId="0" borderId="1" xfId="1" applyFont="1" applyBorder="1" applyAlignment="1">
      <alignment horizontal="right" vertical="center"/>
    </xf>
    <xf numFmtId="49" fontId="18" fillId="0" borderId="1" xfId="0" applyNumberFormat="1" applyFont="1" applyBorder="1" applyAlignment="1">
      <alignment horizontal="justify" vertical="center"/>
    </xf>
    <xf numFmtId="43" fontId="8" fillId="0" borderId="1" xfId="1" applyFont="1" applyBorder="1" applyAlignment="1">
      <alignment horizontal="right" vertical="center"/>
    </xf>
    <xf numFmtId="49" fontId="18" fillId="0" borderId="0" xfId="0" applyNumberFormat="1" applyFont="1" applyAlignment="1">
      <alignment horizontal="justify" vertical="center"/>
    </xf>
    <xf numFmtId="0" fontId="19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2" borderId="0" xfId="0" applyFont="1" applyFill="1">
      <alignment vertical="center"/>
    </xf>
    <xf numFmtId="49" fontId="20" fillId="0" borderId="0" xfId="0" applyNumberFormat="1" applyFont="1" applyAlignment="1">
      <alignment horizontal="centerContinuous" vertical="center"/>
    </xf>
    <xf numFmtId="49" fontId="20" fillId="2" borderId="0" xfId="0" applyNumberFormat="1" applyFont="1" applyFill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49" fontId="15" fillId="0" borderId="2" xfId="0" applyNumberFormat="1" applyFont="1" applyBorder="1" applyAlignment="1">
      <alignment horizontal="left" vertical="justify"/>
    </xf>
    <xf numFmtId="49" fontId="15" fillId="0" borderId="0" xfId="0" applyNumberFormat="1" applyFont="1" applyAlignment="1">
      <alignment horizontal="left" vertical="justify"/>
    </xf>
    <xf numFmtId="49" fontId="15" fillId="2" borderId="0" xfId="0" applyNumberFormat="1" applyFont="1" applyFill="1" applyAlignment="1">
      <alignment horizontal="left" vertical="justify"/>
    </xf>
    <xf numFmtId="177" fontId="15" fillId="0" borderId="0" xfId="0" applyNumberFormat="1" applyFont="1" applyAlignment="1">
      <alignment horizontal="justify" vertical="justify"/>
    </xf>
    <xf numFmtId="0" fontId="8" fillId="2" borderId="0" xfId="0" applyFont="1" applyFill="1" applyAlignment="1">
      <alignment horizontal="right" vertical="center"/>
    </xf>
    <xf numFmtId="14" fontId="11" fillId="2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 applyProtection="1">
      <alignment vertical="center" wrapText="1"/>
      <protection locked="0"/>
    </xf>
    <xf numFmtId="178" fontId="19" fillId="0" borderId="1" xfId="0" applyNumberFormat="1" applyFont="1" applyBorder="1" applyAlignment="1">
      <alignment horizontal="right" vertical="center"/>
    </xf>
    <xf numFmtId="178" fontId="19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 applyProtection="1">
      <alignment vertical="center" wrapText="1"/>
      <protection locked="0"/>
    </xf>
    <xf numFmtId="43" fontId="8" fillId="2" borderId="1" xfId="1" applyFont="1" applyFill="1" applyBorder="1" applyAlignment="1">
      <alignment horizontal="right" vertical="center"/>
    </xf>
    <xf numFmtId="179" fontId="22" fillId="0" borderId="1" xfId="0" applyNumberFormat="1" applyFont="1" applyBorder="1" applyAlignment="1" applyProtection="1">
      <alignment vertical="center" wrapText="1"/>
      <protection locked="0"/>
    </xf>
    <xf numFmtId="0" fontId="8" fillId="0" borderId="1" xfId="0" applyFont="1" applyBorder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43" fontId="3" fillId="2" borderId="1" xfId="1" applyFont="1" applyFill="1" applyBorder="1" applyAlignment="1">
      <alignment horizontal="right" vertical="center"/>
    </xf>
    <xf numFmtId="0" fontId="3" fillId="0" borderId="1" xfId="0" applyFont="1" applyBorder="1" applyAlignment="1" applyProtection="1">
      <alignment vertical="center" wrapText="1"/>
      <protection locked="0"/>
    </xf>
    <xf numFmtId="43" fontId="3" fillId="0" borderId="1" xfId="1" applyFont="1" applyFill="1" applyBorder="1" applyAlignment="1">
      <alignment horizontal="righ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 applyProtection="1">
      <alignment horizontal="left" vertical="center" wrapText="1"/>
      <protection locked="0"/>
    </xf>
    <xf numFmtId="0" fontId="23" fillId="0" borderId="0" xfId="0" applyFont="1" applyAlignment="1" applyProtection="1">
      <alignment horizontal="left" vertical="center" wrapText="1"/>
      <protection locked="0"/>
    </xf>
    <xf numFmtId="43" fontId="8" fillId="2" borderId="0" xfId="0" applyNumberFormat="1" applyFont="1" applyFill="1">
      <alignment vertical="center"/>
    </xf>
    <xf numFmtId="43" fontId="24" fillId="0" borderId="0" xfId="1" applyFont="1" applyAlignment="1">
      <alignment horizontal="right" vertical="center"/>
    </xf>
    <xf numFmtId="43" fontId="24" fillId="2" borderId="0" xfId="1" applyFont="1" applyFill="1" applyAlignment="1">
      <alignment horizontal="right" vertical="center"/>
    </xf>
    <xf numFmtId="0" fontId="18" fillId="0" borderId="0" xfId="0" applyFont="1" applyAlignment="1">
      <alignment horizontal="justify" vertical="justify"/>
    </xf>
    <xf numFmtId="49" fontId="15" fillId="0" borderId="0" xfId="0" applyNumberFormat="1" applyFont="1" applyAlignment="1">
      <alignment horizontal="center" vertical="justify"/>
    </xf>
    <xf numFmtId="49" fontId="15" fillId="2" borderId="0" xfId="0" applyNumberFormat="1" applyFont="1" applyFill="1" applyAlignment="1">
      <alignment horizontal="center" vertical="justify"/>
    </xf>
    <xf numFmtId="43" fontId="18" fillId="0" borderId="0" xfId="0" applyNumberFormat="1" applyFont="1" applyAlignment="1">
      <alignment horizontal="justify" vertical="justify"/>
    </xf>
    <xf numFmtId="43" fontId="18" fillId="2" borderId="0" xfId="0" applyNumberFormat="1" applyFont="1" applyFill="1" applyAlignment="1">
      <alignment horizontal="justify" vertical="justify"/>
    </xf>
    <xf numFmtId="43" fontId="8" fillId="0" borderId="0" xfId="1" applyFont="1">
      <alignment vertical="center"/>
    </xf>
    <xf numFmtId="43" fontId="8" fillId="2" borderId="0" xfId="1" applyFont="1" applyFill="1">
      <alignment vertical="center"/>
    </xf>
  </cellXfs>
  <cellStyles count="4">
    <cellStyle name="常规" xfId="0" builtinId="0"/>
    <cellStyle name="常规 2" xfId="2" xr:uid="{00000000-0005-0000-0000-000031000000}"/>
    <cellStyle name="千位分隔" xfId="1" builtinId="3"/>
    <cellStyle name="千位分隔 2" xfId="3" xr:uid="{00000000-0005-0000-0000-000032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G48"/>
  <sheetViews>
    <sheetView zoomScale="96" zoomScaleNormal="96" workbookViewId="0">
      <pane xSplit="1" ySplit="3" topLeftCell="B27" activePane="bottomRight" state="frozen"/>
      <selection pane="topRight"/>
      <selection pane="bottomLeft"/>
      <selection pane="bottomRight" activeCell="F33" sqref="F33"/>
    </sheetView>
  </sheetViews>
  <sheetFormatPr defaultColWidth="9" defaultRowHeight="15.6"/>
  <cols>
    <col min="1" max="1" width="22.6640625" style="23" customWidth="1"/>
    <col min="2" max="2" width="20" style="23" customWidth="1"/>
    <col min="3" max="3" width="20.88671875" style="39" customWidth="1"/>
    <col min="4" max="4" width="22.109375" style="23" customWidth="1"/>
    <col min="5" max="5" width="22" style="23" customWidth="1"/>
    <col min="6" max="6" width="21.44140625" style="39" customWidth="1"/>
    <col min="7" max="7" width="19" style="23" customWidth="1"/>
    <col min="8" max="8" width="17.77734375" style="23" customWidth="1"/>
    <col min="9" max="9" width="14" style="23"/>
    <col min="10" max="16335" width="9" style="23"/>
  </cols>
  <sheetData>
    <row r="1" spans="1:8" ht="33.9" customHeight="1">
      <c r="A1" s="40" t="s">
        <v>0</v>
      </c>
      <c r="B1" s="40"/>
      <c r="C1" s="41"/>
      <c r="D1" s="40"/>
      <c r="E1" s="25"/>
      <c r="F1" s="42"/>
    </row>
    <row r="2" spans="1:8" ht="15" customHeight="1">
      <c r="A2" s="43" t="s">
        <v>1</v>
      </c>
      <c r="B2" s="44"/>
      <c r="C2" s="45"/>
      <c r="D2" s="46">
        <v>46022</v>
      </c>
      <c r="E2" s="38"/>
      <c r="F2" s="47" t="s">
        <v>2</v>
      </c>
    </row>
    <row r="3" spans="1:8" ht="30" customHeight="1">
      <c r="A3" s="28" t="s">
        <v>3</v>
      </c>
      <c r="B3" s="28" t="s">
        <v>4</v>
      </c>
      <c r="C3" s="48" t="s">
        <v>5</v>
      </c>
      <c r="D3" s="49" t="s">
        <v>6</v>
      </c>
      <c r="E3" s="28" t="s">
        <v>4</v>
      </c>
      <c r="F3" s="48" t="s">
        <v>5</v>
      </c>
    </row>
    <row r="4" spans="1:8" ht="16.95" customHeight="1">
      <c r="A4" s="50" t="s">
        <v>7</v>
      </c>
      <c r="B4" s="51"/>
      <c r="C4" s="52"/>
      <c r="D4" s="50" t="s">
        <v>8</v>
      </c>
      <c r="E4" s="52"/>
      <c r="F4" s="52"/>
    </row>
    <row r="5" spans="1:8" ht="16.95" customHeight="1">
      <c r="A5" s="53" t="s">
        <v>9</v>
      </c>
      <c r="B5" s="54">
        <v>238630.81</v>
      </c>
      <c r="C5" s="54">
        <v>382994.52</v>
      </c>
      <c r="D5" s="53" t="s">
        <v>10</v>
      </c>
      <c r="E5" s="52"/>
      <c r="F5" s="52"/>
    </row>
    <row r="6" spans="1:8" ht="16.95" customHeight="1">
      <c r="A6" s="53" t="s">
        <v>11</v>
      </c>
      <c r="B6" s="52"/>
      <c r="C6" s="52"/>
      <c r="D6" s="53" t="s">
        <v>12</v>
      </c>
      <c r="E6" s="52"/>
      <c r="F6" s="52"/>
    </row>
    <row r="7" spans="1:8" ht="16.95" customHeight="1">
      <c r="A7" s="53" t="s">
        <v>13</v>
      </c>
      <c r="B7" s="52"/>
      <c r="C7" s="52"/>
      <c r="D7" s="53" t="s">
        <v>14</v>
      </c>
      <c r="E7" s="52"/>
      <c r="F7" s="52"/>
    </row>
    <row r="8" spans="1:8" ht="16.95" customHeight="1">
      <c r="A8" s="53" t="s">
        <v>15</v>
      </c>
      <c r="B8" s="52"/>
      <c r="C8" s="52"/>
      <c r="D8" s="53" t="s">
        <v>16</v>
      </c>
      <c r="E8" s="52"/>
      <c r="F8" s="52"/>
    </row>
    <row r="9" spans="1:8" ht="16.95" customHeight="1">
      <c r="A9" s="53" t="s">
        <v>17</v>
      </c>
      <c r="B9" s="54"/>
      <c r="C9" s="54">
        <v>24.63</v>
      </c>
      <c r="D9" s="53" t="s">
        <v>18</v>
      </c>
      <c r="E9" s="54">
        <v>2796669.32</v>
      </c>
      <c r="F9" s="54">
        <v>1705242.29</v>
      </c>
      <c r="G9" s="32"/>
    </row>
    <row r="10" spans="1:8" ht="16.95" customHeight="1">
      <c r="A10" s="53" t="s">
        <v>19</v>
      </c>
      <c r="B10" s="54">
        <v>24720</v>
      </c>
      <c r="C10" s="54">
        <v>310511.90000000002</v>
      </c>
      <c r="D10" s="53" t="s">
        <v>20</v>
      </c>
      <c r="E10" s="54"/>
      <c r="F10" s="54"/>
    </row>
    <row r="11" spans="1:8" ht="16.95" customHeight="1">
      <c r="A11" s="34" t="s">
        <v>21</v>
      </c>
      <c r="B11" s="52"/>
      <c r="C11" s="54"/>
      <c r="D11" s="53" t="s">
        <v>22</v>
      </c>
      <c r="E11" s="54">
        <v>3511505.92</v>
      </c>
      <c r="F11" s="54">
        <v>5348183.3</v>
      </c>
      <c r="G11" s="32"/>
      <c r="H11" s="32"/>
    </row>
    <row r="12" spans="1:8" ht="16.95" customHeight="1">
      <c r="A12" s="34" t="s">
        <v>23</v>
      </c>
      <c r="B12" s="52"/>
      <c r="C12" s="54"/>
      <c r="D12" s="53" t="s">
        <v>24</v>
      </c>
      <c r="E12" s="54">
        <v>345868.6</v>
      </c>
      <c r="F12" s="54">
        <v>183346.74</v>
      </c>
      <c r="G12" s="32"/>
    </row>
    <row r="13" spans="1:8" ht="16.95" customHeight="1">
      <c r="A13" s="53" t="s">
        <v>25</v>
      </c>
      <c r="B13" s="54">
        <v>7852178.3700000001</v>
      </c>
      <c r="C13" s="54">
        <v>10911088.060000001</v>
      </c>
      <c r="D13" s="34" t="s">
        <v>26</v>
      </c>
      <c r="E13" s="54"/>
      <c r="F13" s="54">
        <v>43672.34</v>
      </c>
    </row>
    <row r="14" spans="1:8" ht="16.95" customHeight="1">
      <c r="A14" s="53" t="s">
        <v>27</v>
      </c>
      <c r="B14" s="52"/>
      <c r="C14" s="54"/>
      <c r="D14" s="34" t="s">
        <v>28</v>
      </c>
      <c r="E14" s="54"/>
      <c r="F14" s="54"/>
    </row>
    <row r="15" spans="1:8" ht="16.95" customHeight="1">
      <c r="A15" s="56" t="s">
        <v>29</v>
      </c>
      <c r="B15" s="52"/>
      <c r="C15" s="54"/>
      <c r="D15" s="53" t="s">
        <v>30</v>
      </c>
      <c r="E15" s="54">
        <v>45814404.409999996</v>
      </c>
      <c r="F15" s="54">
        <v>63587629.25</v>
      </c>
      <c r="G15" s="32"/>
    </row>
    <row r="16" spans="1:8" ht="16.95" customHeight="1">
      <c r="A16" s="53" t="s">
        <v>31</v>
      </c>
      <c r="B16" s="54">
        <v>1207138.8</v>
      </c>
      <c r="C16" s="54">
        <v>1520020.53</v>
      </c>
      <c r="D16" s="56" t="s">
        <v>32</v>
      </c>
      <c r="E16" s="54"/>
      <c r="F16" s="54"/>
    </row>
    <row r="17" spans="1:6" ht="16.95" customHeight="1">
      <c r="A17" s="57" t="s">
        <v>33</v>
      </c>
      <c r="B17" s="30">
        <f t="shared" ref="B17" si="0">SUM(B5:B16)</f>
        <v>9322667.9800000004</v>
      </c>
      <c r="C17" s="58">
        <f t="shared" ref="C17" si="1">SUM(C5:C16)</f>
        <v>13124639.640000001</v>
      </c>
      <c r="D17" s="53" t="s">
        <v>34</v>
      </c>
      <c r="E17" s="54">
        <v>1965783</v>
      </c>
      <c r="F17" s="54">
        <v>1965783</v>
      </c>
    </row>
    <row r="18" spans="1:6" ht="16.95" customHeight="1">
      <c r="A18" s="59" t="s">
        <v>35</v>
      </c>
      <c r="B18" s="51"/>
      <c r="C18" s="52"/>
      <c r="D18" s="57" t="s">
        <v>36</v>
      </c>
      <c r="E18" s="60">
        <f t="shared" ref="E18:F18" si="2">SUM(E5:E17)</f>
        <v>54434231.25</v>
      </c>
      <c r="F18" s="58">
        <f t="shared" si="2"/>
        <v>72833856.920000002</v>
      </c>
    </row>
    <row r="19" spans="1:6" ht="16.95" customHeight="1">
      <c r="A19" s="53" t="s">
        <v>37</v>
      </c>
      <c r="B19" s="51"/>
      <c r="C19" s="52"/>
      <c r="D19" s="59" t="s">
        <v>38</v>
      </c>
      <c r="E19" s="51"/>
      <c r="F19" s="52"/>
    </row>
    <row r="20" spans="1:6" ht="16.95" customHeight="1">
      <c r="A20" s="53" t="s">
        <v>39</v>
      </c>
      <c r="B20" s="51"/>
      <c r="C20" s="52"/>
      <c r="D20" s="53" t="s">
        <v>40</v>
      </c>
      <c r="E20" s="51"/>
      <c r="F20" s="52"/>
    </row>
    <row r="21" spans="1:6" ht="16.95" customHeight="1">
      <c r="A21" s="53" t="s">
        <v>41</v>
      </c>
      <c r="B21" s="51"/>
      <c r="C21" s="52"/>
      <c r="D21" s="53" t="s">
        <v>42</v>
      </c>
      <c r="E21" s="51"/>
      <c r="F21" s="52"/>
    </row>
    <row r="22" spans="1:6" ht="16.95" customHeight="1">
      <c r="A22" s="53" t="s">
        <v>43</v>
      </c>
      <c r="B22" s="54">
        <v>4868391</v>
      </c>
      <c r="C22" s="54">
        <v>5876692.5999999996</v>
      </c>
      <c r="D22" s="53" t="s">
        <v>44</v>
      </c>
      <c r="E22" s="51"/>
      <c r="F22" s="52"/>
    </row>
    <row r="23" spans="1:6" ht="16.95" customHeight="1">
      <c r="A23" s="53" t="s">
        <v>45</v>
      </c>
      <c r="B23" s="54"/>
      <c r="C23" s="54"/>
      <c r="D23" s="53" t="s">
        <v>46</v>
      </c>
      <c r="E23" s="51"/>
      <c r="F23" s="52"/>
    </row>
    <row r="24" spans="1:6" ht="16.95" customHeight="1">
      <c r="A24" s="53" t="s">
        <v>47</v>
      </c>
      <c r="B24" s="54"/>
      <c r="C24" s="54"/>
      <c r="D24" s="53" t="s">
        <v>48</v>
      </c>
      <c r="E24" s="51"/>
      <c r="F24" s="52"/>
    </row>
    <row r="25" spans="1:6" ht="16.95" customHeight="1">
      <c r="A25" s="53" t="s">
        <v>49</v>
      </c>
      <c r="B25" s="54"/>
      <c r="C25" s="54"/>
      <c r="D25" s="53" t="s">
        <v>50</v>
      </c>
      <c r="E25" s="54">
        <v>2337769.96</v>
      </c>
      <c r="F25" s="54">
        <v>1244784.29</v>
      </c>
    </row>
    <row r="26" spans="1:6" ht="16.95" customHeight="1">
      <c r="A26" s="53" t="s">
        <v>51</v>
      </c>
      <c r="B26" s="54">
        <v>1224401.81</v>
      </c>
      <c r="C26" s="54">
        <v>829888.45</v>
      </c>
      <c r="D26" s="53" t="s">
        <v>52</v>
      </c>
      <c r="E26" s="51"/>
      <c r="F26" s="52"/>
    </row>
    <row r="27" spans="1:6" ht="16.95" customHeight="1">
      <c r="A27" s="53" t="s">
        <v>53</v>
      </c>
      <c r="B27" s="54"/>
      <c r="C27" s="54"/>
      <c r="D27" s="53" t="s">
        <v>54</v>
      </c>
      <c r="E27" s="51"/>
      <c r="F27" s="52"/>
    </row>
    <row r="28" spans="1:6" ht="16.95" customHeight="1">
      <c r="A28" s="31" t="s">
        <v>55</v>
      </c>
      <c r="B28" s="54"/>
      <c r="C28" s="54"/>
      <c r="D28" s="57" t="s">
        <v>56</v>
      </c>
      <c r="E28" s="60">
        <f t="shared" ref="E28" si="3">SUM(E20:E27)</f>
        <v>2337769.96</v>
      </c>
      <c r="F28" s="58">
        <f t="shared" ref="F28" si="4">SUM(F20:F27)</f>
        <v>1244784.29</v>
      </c>
    </row>
    <row r="29" spans="1:6" ht="16.95" customHeight="1">
      <c r="A29" s="53" t="s">
        <v>57</v>
      </c>
      <c r="B29" s="54"/>
      <c r="C29" s="54"/>
      <c r="D29" s="57" t="s">
        <v>58</v>
      </c>
      <c r="E29" s="60">
        <f t="shared" ref="E29" si="5">E18+E28</f>
        <v>56772001.210000001</v>
      </c>
      <c r="F29" s="58">
        <f t="shared" ref="F29" si="6">F18+F28</f>
        <v>74078641.210000008</v>
      </c>
    </row>
    <row r="30" spans="1:6" ht="16.95" customHeight="1">
      <c r="A30" s="53" t="s">
        <v>59</v>
      </c>
      <c r="B30" s="54"/>
      <c r="C30" s="54"/>
      <c r="D30" s="61" t="s">
        <v>60</v>
      </c>
      <c r="E30" s="51"/>
      <c r="F30" s="52"/>
    </row>
    <row r="31" spans="1:6" ht="16.95" customHeight="1">
      <c r="A31" s="53" t="s">
        <v>61</v>
      </c>
      <c r="B31" s="54">
        <v>156800</v>
      </c>
      <c r="C31" s="54">
        <v>156800</v>
      </c>
      <c r="D31" s="53" t="s">
        <v>62</v>
      </c>
      <c r="E31" s="54">
        <v>30000000</v>
      </c>
      <c r="F31" s="54">
        <v>30000000</v>
      </c>
    </row>
    <row r="32" spans="1:6" ht="16.95" customHeight="1">
      <c r="A32" s="53" t="s">
        <v>63</v>
      </c>
      <c r="B32" s="54"/>
      <c r="C32" s="54"/>
      <c r="D32" s="53" t="s">
        <v>64</v>
      </c>
      <c r="E32" s="51"/>
      <c r="F32" s="52"/>
    </row>
    <row r="33" spans="1:7" ht="16.95" customHeight="1">
      <c r="A33" s="53" t="s">
        <v>65</v>
      </c>
      <c r="B33" s="54"/>
      <c r="C33" s="54"/>
      <c r="D33" s="53" t="s">
        <v>66</v>
      </c>
      <c r="E33" s="51"/>
      <c r="F33" s="52"/>
    </row>
    <row r="34" spans="1:7" ht="16.95" customHeight="1">
      <c r="A34" s="53" t="s">
        <v>67</v>
      </c>
      <c r="B34" s="54">
        <v>1559632.43</v>
      </c>
      <c r="C34" s="54">
        <v>574601.27</v>
      </c>
      <c r="D34" s="53" t="s">
        <v>68</v>
      </c>
      <c r="E34" s="51"/>
      <c r="F34" s="52"/>
    </row>
    <row r="35" spans="1:7" ht="16.95" customHeight="1">
      <c r="A35" s="53" t="s">
        <v>69</v>
      </c>
      <c r="B35" s="54"/>
      <c r="C35" s="55"/>
      <c r="D35" s="53" t="s">
        <v>70</v>
      </c>
      <c r="E35" s="51"/>
      <c r="F35" s="52"/>
    </row>
    <row r="36" spans="1:7" ht="16.95" customHeight="1">
      <c r="A36" s="53" t="s">
        <v>71</v>
      </c>
      <c r="B36" s="52"/>
      <c r="C36" s="55"/>
      <c r="D36" s="53" t="s">
        <v>72</v>
      </c>
      <c r="E36" s="51"/>
      <c r="F36" s="52"/>
    </row>
    <row r="37" spans="1:7" ht="16.95" customHeight="1">
      <c r="A37" s="53" t="s">
        <v>73</v>
      </c>
      <c r="B37" s="54">
        <v>3694337.98</v>
      </c>
      <c r="C37" s="54">
        <v>1609855.78</v>
      </c>
      <c r="D37" s="62" t="s">
        <v>74</v>
      </c>
      <c r="E37" s="54">
        <v>-65945770.009999998</v>
      </c>
      <c r="F37" s="54">
        <v>-81906163.469999999</v>
      </c>
    </row>
    <row r="38" spans="1:7" ht="16.95" customHeight="1">
      <c r="A38" s="57" t="s">
        <v>75</v>
      </c>
      <c r="B38" s="30">
        <f t="shared" ref="B38" si="7">SUM(B19:B37)</f>
        <v>11503563.220000001</v>
      </c>
      <c r="C38" s="58">
        <f t="shared" ref="C38" si="8">SUM(C19:C37)</f>
        <v>9047838.0999999996</v>
      </c>
      <c r="D38" s="63" t="s">
        <v>76</v>
      </c>
      <c r="E38" s="60">
        <f t="shared" ref="E38" si="9">SUM(E31:E37)</f>
        <v>-35945770.009999998</v>
      </c>
      <c r="F38" s="58">
        <f t="shared" ref="F38" si="10">SUM(F31:F37)</f>
        <v>-51906163.469999999</v>
      </c>
      <c r="G38" s="32"/>
    </row>
    <row r="39" spans="1:7" ht="16.95" customHeight="1">
      <c r="A39" s="64" t="s">
        <v>77</v>
      </c>
      <c r="B39" s="30">
        <f t="shared" ref="B39" si="11">B17+B38</f>
        <v>20826231.199999999</v>
      </c>
      <c r="C39" s="58">
        <f t="shared" ref="C39" si="12">C17+C38</f>
        <v>22172477.740000002</v>
      </c>
      <c r="D39" s="63" t="s">
        <v>78</v>
      </c>
      <c r="E39" s="60">
        <f t="shared" ref="E39" si="13">E29+E38</f>
        <v>20826231.199999999</v>
      </c>
      <c r="F39" s="58">
        <f t="shared" ref="F39" si="14">F29+F38</f>
        <v>22172477.74000001</v>
      </c>
    </row>
    <row r="40" spans="1:7" ht="16.95" customHeight="1">
      <c r="A40" s="65"/>
      <c r="B40" s="32"/>
      <c r="C40" s="66"/>
      <c r="D40" s="65"/>
      <c r="E40" s="67">
        <f>B39-E39</f>
        <v>0</v>
      </c>
      <c r="F40" s="68">
        <f>C39-F39</f>
        <v>0</v>
      </c>
    </row>
    <row r="41" spans="1:7" ht="15" customHeight="1">
      <c r="A41" s="69"/>
      <c r="B41" s="70"/>
      <c r="C41" s="71"/>
      <c r="E41" s="72"/>
      <c r="F41" s="73"/>
    </row>
    <row r="42" spans="1:7">
      <c r="E42" s="74"/>
      <c r="F42" s="75"/>
    </row>
    <row r="44" spans="1:7">
      <c r="E44" s="32"/>
      <c r="F44" s="66"/>
    </row>
    <row r="45" spans="1:7">
      <c r="E45" s="32"/>
      <c r="F45" s="66"/>
    </row>
    <row r="46" spans="1:7">
      <c r="F46" s="66"/>
    </row>
    <row r="48" spans="1:7">
      <c r="E48" s="32"/>
      <c r="F48" s="66"/>
    </row>
  </sheetData>
  <phoneticPr fontId="25" type="noConversion"/>
  <pageMargins left="0" right="0" top="0.75138888888888899" bottom="0.75138888888888899" header="0.29861111111111099" footer="0.29861111111111099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="90" zoomScaleNormal="90" workbookViewId="0">
      <pane xSplit="1" ySplit="3" topLeftCell="B4" activePane="bottomRight" state="frozen"/>
      <selection pane="topRight"/>
      <selection pane="bottomLeft"/>
      <selection pane="bottomRight" activeCell="H8" sqref="H8"/>
    </sheetView>
  </sheetViews>
  <sheetFormatPr defaultColWidth="9" defaultRowHeight="15.6"/>
  <cols>
    <col min="1" max="1" width="49.6640625" style="23" customWidth="1"/>
    <col min="2" max="2" width="22.109375" style="23" customWidth="1"/>
    <col min="3" max="3" width="22.44140625" style="23" customWidth="1"/>
    <col min="4" max="4" width="9" style="23"/>
    <col min="5" max="5" width="19.109375" style="23" customWidth="1"/>
    <col min="6" max="6" width="9.33203125" style="23"/>
    <col min="7" max="16384" width="9" style="23"/>
  </cols>
  <sheetData>
    <row r="1" spans="1:5" ht="48.9" customHeight="1">
      <c r="A1" s="24" t="s">
        <v>79</v>
      </c>
      <c r="B1" s="25"/>
      <c r="C1" s="25"/>
    </row>
    <row r="2" spans="1:5" ht="15" customHeight="1">
      <c r="A2" s="26" t="s">
        <v>1</v>
      </c>
      <c r="B2" s="27" t="s">
        <v>80</v>
      </c>
      <c r="C2" s="27" t="s">
        <v>2</v>
      </c>
    </row>
    <row r="3" spans="1:5" ht="23.1" customHeight="1">
      <c r="A3" s="28" t="s">
        <v>81</v>
      </c>
      <c r="B3" s="11" t="s">
        <v>82</v>
      </c>
      <c r="C3" s="11" t="s">
        <v>83</v>
      </c>
    </row>
    <row r="4" spans="1:5" ht="23.1" customHeight="1">
      <c r="A4" s="29" t="s">
        <v>84</v>
      </c>
      <c r="B4" s="30">
        <v>772075.43</v>
      </c>
      <c r="C4" s="30">
        <v>12070.81</v>
      </c>
    </row>
    <row r="5" spans="1:5" ht="23.1" customHeight="1">
      <c r="A5" s="31" t="s">
        <v>85</v>
      </c>
      <c r="B5" s="30">
        <v>187221.92</v>
      </c>
      <c r="C5" s="30">
        <v>13097.33</v>
      </c>
    </row>
    <row r="6" spans="1:5" ht="23.1" customHeight="1">
      <c r="A6" s="31" t="s">
        <v>86</v>
      </c>
      <c r="B6" s="30">
        <v>0</v>
      </c>
      <c r="C6" s="30">
        <v>2829.18</v>
      </c>
    </row>
    <row r="7" spans="1:5" ht="23.1" customHeight="1">
      <c r="A7" s="31" t="s">
        <v>87</v>
      </c>
      <c r="B7" s="30">
        <v>146057.32999999999</v>
      </c>
      <c r="C7" s="30">
        <v>2504252.14</v>
      </c>
    </row>
    <row r="8" spans="1:5" ht="23.1" customHeight="1">
      <c r="A8" s="31" t="s">
        <v>88</v>
      </c>
      <c r="B8" s="30">
        <v>16470448.6</v>
      </c>
      <c r="C8" s="30">
        <v>9905280.6400000006</v>
      </c>
    </row>
    <row r="9" spans="1:5" ht="23.1" customHeight="1">
      <c r="A9" s="31" t="s">
        <v>89</v>
      </c>
      <c r="B9" s="30">
        <v>4027242.28</v>
      </c>
      <c r="C9" s="30">
        <v>3237205.18</v>
      </c>
    </row>
    <row r="10" spans="1:5" ht="23.1" customHeight="1">
      <c r="A10" s="31" t="s">
        <v>90</v>
      </c>
      <c r="B10" s="30">
        <v>247397.8</v>
      </c>
      <c r="C10" s="30">
        <v>161139.6</v>
      </c>
      <c r="E10" s="32"/>
    </row>
    <row r="11" spans="1:5" ht="23.1" customHeight="1">
      <c r="A11" s="31" t="s">
        <v>91</v>
      </c>
      <c r="B11" s="30">
        <v>0</v>
      </c>
      <c r="C11" s="30">
        <v>-4558.12</v>
      </c>
    </row>
    <row r="12" spans="1:5" ht="23.1" customHeight="1">
      <c r="A12" s="31" t="s">
        <v>92</v>
      </c>
      <c r="B12" s="30">
        <v>0</v>
      </c>
      <c r="C12" s="30">
        <v>0</v>
      </c>
    </row>
    <row r="13" spans="1:5" ht="23.1" customHeight="1">
      <c r="A13" s="31" t="s">
        <v>93</v>
      </c>
      <c r="B13" s="30">
        <v>0</v>
      </c>
      <c r="C13" s="30">
        <v>0</v>
      </c>
    </row>
    <row r="14" spans="1:5" ht="23.1" customHeight="1">
      <c r="A14" s="31" t="s">
        <v>94</v>
      </c>
      <c r="B14" s="30">
        <v>0</v>
      </c>
      <c r="C14" s="30">
        <v>0</v>
      </c>
    </row>
    <row r="15" spans="1:5" ht="23.1" customHeight="1">
      <c r="A15" s="31" t="s">
        <v>95</v>
      </c>
      <c r="B15" s="30">
        <v>14628.8</v>
      </c>
      <c r="C15" s="33">
        <v>15136.09</v>
      </c>
    </row>
    <row r="16" spans="1:5" ht="23.1" customHeight="1">
      <c r="A16" s="29" t="s">
        <v>96</v>
      </c>
      <c r="B16" s="30">
        <v>-18578619.870000001</v>
      </c>
      <c r="C16" s="30">
        <f>C4-C5-C6-C7-C8-C9-C10-C11+C15</f>
        <v>-15792039.050000001</v>
      </c>
      <c r="E16" s="32"/>
    </row>
    <row r="17" spans="1:3" ht="23.1" customHeight="1">
      <c r="A17" s="34" t="s">
        <v>97</v>
      </c>
      <c r="B17" s="30">
        <v>394891.45</v>
      </c>
      <c r="C17" s="30">
        <v>232800</v>
      </c>
    </row>
    <row r="18" spans="1:3" ht="23.1" customHeight="1">
      <c r="A18" s="34" t="s">
        <v>98</v>
      </c>
      <c r="B18" s="30">
        <v>0</v>
      </c>
      <c r="C18" s="30">
        <v>0</v>
      </c>
    </row>
    <row r="19" spans="1:3" ht="23.1" customHeight="1">
      <c r="A19" s="34" t="s">
        <v>99</v>
      </c>
      <c r="B19" s="30">
        <v>0</v>
      </c>
      <c r="C19" s="30">
        <v>0</v>
      </c>
    </row>
    <row r="20" spans="1:3" ht="23.1" customHeight="1">
      <c r="A20" s="29" t="s">
        <v>100</v>
      </c>
      <c r="B20" s="30">
        <v>-19896772.25</v>
      </c>
      <c r="C20" s="30">
        <f>C16+C17</f>
        <v>-15559239.050000001</v>
      </c>
    </row>
    <row r="21" spans="1:3" ht="23.1" customHeight="1">
      <c r="A21" s="34" t="s">
        <v>101</v>
      </c>
      <c r="B21" s="30">
        <v>0</v>
      </c>
      <c r="C21" s="30">
        <v>0</v>
      </c>
    </row>
    <row r="22" spans="1:3" ht="23.1" customHeight="1">
      <c r="A22" s="29" t="s">
        <v>102</v>
      </c>
      <c r="B22" s="30">
        <f>B4-B5-B6-B7-B8-B9-B10+B15+B17</f>
        <v>-19896772.25</v>
      </c>
      <c r="C22" s="30">
        <f>C4-C5-C6-C7-C8-C9-C10-C11+C15+C17</f>
        <v>-15559239.050000001</v>
      </c>
    </row>
    <row r="23" spans="1:3" ht="23.1" customHeight="1">
      <c r="A23" s="34" t="s">
        <v>103</v>
      </c>
      <c r="B23" s="35"/>
      <c r="C23" s="35"/>
    </row>
    <row r="24" spans="1:3" ht="23.1" customHeight="1">
      <c r="A24" s="34" t="s">
        <v>104</v>
      </c>
      <c r="B24" s="35"/>
      <c r="C24" s="35"/>
    </row>
    <row r="25" spans="1:3" ht="23.1" customHeight="1">
      <c r="A25" s="34" t="s">
        <v>105</v>
      </c>
      <c r="B25" s="35"/>
      <c r="C25" s="35"/>
    </row>
    <row r="26" spans="1:3" ht="23.1" customHeight="1">
      <c r="A26" s="36"/>
      <c r="B26" s="37"/>
      <c r="C26" s="37"/>
    </row>
    <row r="27" spans="1:3" ht="15" customHeight="1">
      <c r="A27" s="36"/>
      <c r="B27" s="36"/>
      <c r="C27" s="36"/>
    </row>
    <row r="33" spans="2:3">
      <c r="B33" s="38"/>
      <c r="C33" s="38"/>
    </row>
  </sheetData>
  <phoneticPr fontId="25" type="noConversion"/>
  <pageMargins left="0.7" right="0.7" top="0.75" bottom="0.75" header="0.3" footer="0.3"/>
  <pageSetup paperSize="9" scale="5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S43"/>
  <sheetViews>
    <sheetView tabSelected="1" workbookViewId="0">
      <pane xSplit="1" ySplit="3" topLeftCell="B25" activePane="bottomRight" state="frozen"/>
      <selection pane="topRight"/>
      <selection pane="bottomLeft"/>
      <selection pane="bottomRight" activeCell="F9" sqref="F9"/>
    </sheetView>
  </sheetViews>
  <sheetFormatPr defaultColWidth="10.21875" defaultRowHeight="15.6"/>
  <cols>
    <col min="1" max="1" width="45.44140625" style="5" customWidth="1"/>
    <col min="2" max="3" width="22" style="1" customWidth="1"/>
    <col min="4" max="4" width="17.77734375" style="1" customWidth="1"/>
    <col min="5" max="227" width="10.21875" style="1"/>
    <col min="228" max="16384" width="10.21875" style="6"/>
  </cols>
  <sheetData>
    <row r="1" spans="1:4" s="1" customFormat="1" ht="22.2">
      <c r="A1" s="7" t="s">
        <v>106</v>
      </c>
    </row>
    <row r="2" spans="1:4" s="2" customFormat="1" ht="14.4">
      <c r="A2" s="8" t="s">
        <v>1</v>
      </c>
      <c r="B2" s="9" t="s">
        <v>80</v>
      </c>
      <c r="C2" s="9" t="s">
        <v>107</v>
      </c>
    </row>
    <row r="3" spans="1:4" s="3" customFormat="1">
      <c r="A3" s="10" t="s">
        <v>108</v>
      </c>
      <c r="B3" s="11" t="s">
        <v>141</v>
      </c>
      <c r="C3" s="11" t="s">
        <v>142</v>
      </c>
    </row>
    <row r="4" spans="1:4" s="4" customFormat="1">
      <c r="A4" s="12" t="s">
        <v>109</v>
      </c>
      <c r="B4" s="13">
        <v>0</v>
      </c>
      <c r="C4" s="13">
        <v>0</v>
      </c>
    </row>
    <row r="5" spans="1:4" s="4" customFormat="1">
      <c r="A5" s="14" t="s">
        <v>110</v>
      </c>
      <c r="B5" s="13">
        <v>1300000</v>
      </c>
      <c r="C5" s="15">
        <v>13582.25</v>
      </c>
    </row>
    <row r="6" spans="1:4" s="4" customFormat="1">
      <c r="A6" s="14" t="s">
        <v>111</v>
      </c>
      <c r="B6" s="13">
        <v>0</v>
      </c>
      <c r="C6" s="15">
        <v>16044.26</v>
      </c>
    </row>
    <row r="7" spans="1:4" s="4" customFormat="1">
      <c r="A7" s="14" t="s">
        <v>112</v>
      </c>
      <c r="B7" s="13">
        <v>28081873.129999999</v>
      </c>
      <c r="C7" s="15">
        <v>17626451.940000001</v>
      </c>
    </row>
    <row r="8" spans="1:4" s="3" customFormat="1">
      <c r="A8" s="12" t="s">
        <v>113</v>
      </c>
      <c r="B8" s="16">
        <v>29381873.129999999</v>
      </c>
      <c r="C8" s="17">
        <v>17656078.449999999</v>
      </c>
    </row>
    <row r="9" spans="1:4" s="4" customFormat="1">
      <c r="A9" s="14" t="s">
        <v>114</v>
      </c>
      <c r="B9" s="13">
        <v>59882.559999999998</v>
      </c>
      <c r="C9" s="15">
        <v>227194.9</v>
      </c>
    </row>
    <row r="10" spans="1:4" s="4" customFormat="1">
      <c r="A10" s="14" t="s">
        <v>115</v>
      </c>
      <c r="B10" s="13">
        <v>11561051.49</v>
      </c>
      <c r="C10" s="15">
        <v>8272204.2599999998</v>
      </c>
    </row>
    <row r="11" spans="1:4" s="4" customFormat="1">
      <c r="A11" s="14" t="s">
        <v>116</v>
      </c>
      <c r="B11" s="13">
        <v>0</v>
      </c>
      <c r="C11" s="15">
        <v>0</v>
      </c>
    </row>
    <row r="12" spans="1:4" s="4" customFormat="1">
      <c r="A12" s="14" t="s">
        <v>117</v>
      </c>
      <c r="B12" s="13">
        <v>17245148.219999999</v>
      </c>
      <c r="C12" s="15">
        <v>11545705.98</v>
      </c>
      <c r="D12" s="18"/>
    </row>
    <row r="13" spans="1:4" s="3" customFormat="1">
      <c r="A13" s="12" t="s">
        <v>118</v>
      </c>
      <c r="B13" s="16">
        <v>28866082.27</v>
      </c>
      <c r="C13" s="17">
        <v>20045105.140000001</v>
      </c>
    </row>
    <row r="14" spans="1:4" s="3" customFormat="1">
      <c r="A14" s="12" t="s">
        <v>119</v>
      </c>
      <c r="B14" s="16">
        <v>515790.86000000098</v>
      </c>
      <c r="C14" s="17">
        <v>-2389026.69</v>
      </c>
    </row>
    <row r="15" spans="1:4" s="4" customFormat="1">
      <c r="A15" s="14" t="s">
        <v>120</v>
      </c>
      <c r="B15" s="13">
        <v>0</v>
      </c>
      <c r="C15" s="15">
        <v>0</v>
      </c>
    </row>
    <row r="16" spans="1:4" s="4" customFormat="1">
      <c r="A16" s="14" t="s">
        <v>121</v>
      </c>
      <c r="B16" s="13">
        <v>0</v>
      </c>
      <c r="C16" s="15">
        <v>0</v>
      </c>
    </row>
    <row r="17" spans="1:3" s="4" customFormat="1">
      <c r="A17" s="14" t="s">
        <v>122</v>
      </c>
      <c r="B17" s="13">
        <v>0</v>
      </c>
      <c r="C17" s="15">
        <v>0</v>
      </c>
    </row>
    <row r="18" spans="1:3" s="4" customFormat="1">
      <c r="A18" s="14" t="s">
        <v>123</v>
      </c>
      <c r="B18" s="13">
        <v>0</v>
      </c>
      <c r="C18" s="15">
        <v>0</v>
      </c>
    </row>
    <row r="19" spans="1:3" s="4" customFormat="1">
      <c r="A19" s="14" t="s">
        <v>124</v>
      </c>
      <c r="B19" s="13">
        <v>0</v>
      </c>
      <c r="C19" s="15">
        <v>0</v>
      </c>
    </row>
    <row r="20" spans="1:3" s="4" customFormat="1">
      <c r="A20" s="12" t="s">
        <v>113</v>
      </c>
      <c r="B20" s="13">
        <v>0</v>
      </c>
      <c r="C20" s="15">
        <v>0</v>
      </c>
    </row>
    <row r="21" spans="1:3" s="4" customFormat="1">
      <c r="A21" s="14" t="s">
        <v>125</v>
      </c>
      <c r="B21" s="13">
        <v>172893.48</v>
      </c>
      <c r="C21" s="15">
        <v>23488</v>
      </c>
    </row>
    <row r="22" spans="1:3" s="4" customFormat="1">
      <c r="A22" s="14" t="s">
        <v>126</v>
      </c>
      <c r="B22" s="13">
        <v>924235.25</v>
      </c>
      <c r="C22" s="15">
        <v>1008301.6</v>
      </c>
    </row>
    <row r="23" spans="1:3" s="4" customFormat="1">
      <c r="A23" s="14" t="s">
        <v>127</v>
      </c>
      <c r="B23" s="13">
        <v>0</v>
      </c>
      <c r="C23" s="15">
        <v>0</v>
      </c>
    </row>
    <row r="24" spans="1:3" s="4" customFormat="1">
      <c r="A24" s="12" t="s">
        <v>118</v>
      </c>
      <c r="B24" s="16">
        <v>1097128.73</v>
      </c>
      <c r="C24" s="17">
        <v>1031789.6</v>
      </c>
    </row>
    <row r="25" spans="1:3" s="3" customFormat="1">
      <c r="A25" s="12" t="s">
        <v>128</v>
      </c>
      <c r="B25" s="16">
        <v>-1097128.73</v>
      </c>
      <c r="C25" s="17">
        <v>-1031789.6</v>
      </c>
    </row>
    <row r="26" spans="1:3" s="4" customFormat="1">
      <c r="A26" s="14" t="s">
        <v>129</v>
      </c>
      <c r="B26" s="13">
        <v>0</v>
      </c>
      <c r="C26" s="15">
        <v>0</v>
      </c>
    </row>
    <row r="27" spans="1:3" s="4" customFormat="1">
      <c r="A27" s="14" t="s">
        <v>130</v>
      </c>
      <c r="B27" s="13">
        <v>0</v>
      </c>
      <c r="C27" s="15">
        <v>0</v>
      </c>
    </row>
    <row r="28" spans="1:3" s="4" customFormat="1">
      <c r="A28" s="14" t="s">
        <v>131</v>
      </c>
      <c r="B28" s="13">
        <v>0</v>
      </c>
      <c r="C28" s="15">
        <v>3565180</v>
      </c>
    </row>
    <row r="29" spans="1:3" s="4" customFormat="1">
      <c r="A29" s="14" t="s">
        <v>132</v>
      </c>
      <c r="B29" s="13">
        <v>0</v>
      </c>
      <c r="C29" s="15">
        <v>0</v>
      </c>
    </row>
    <row r="30" spans="1:3" s="4" customFormat="1">
      <c r="A30" s="12" t="s">
        <v>113</v>
      </c>
      <c r="B30" s="13">
        <v>0</v>
      </c>
      <c r="C30" s="15">
        <v>3565180</v>
      </c>
    </row>
    <row r="31" spans="1:3" s="4" customFormat="1">
      <c r="A31" s="14" t="s">
        <v>133</v>
      </c>
      <c r="B31" s="13">
        <v>0</v>
      </c>
      <c r="C31" s="15">
        <v>0</v>
      </c>
    </row>
    <row r="32" spans="1:3" s="4" customFormat="1">
      <c r="A32" s="14" t="s">
        <v>134</v>
      </c>
      <c r="B32" s="13">
        <v>0</v>
      </c>
      <c r="C32" s="15">
        <v>0</v>
      </c>
    </row>
    <row r="33" spans="1:3" s="4" customFormat="1">
      <c r="A33" s="14" t="s">
        <v>135</v>
      </c>
      <c r="B33" s="13">
        <v>0</v>
      </c>
      <c r="C33" s="15">
        <v>0</v>
      </c>
    </row>
    <row r="34" spans="1:3" s="4" customFormat="1">
      <c r="A34" s="12" t="s">
        <v>118</v>
      </c>
      <c r="B34" s="13">
        <v>0</v>
      </c>
      <c r="C34" s="15">
        <v>0</v>
      </c>
    </row>
    <row r="35" spans="1:3" s="3" customFormat="1">
      <c r="A35" s="12" t="s">
        <v>136</v>
      </c>
      <c r="B35" s="13">
        <v>0</v>
      </c>
      <c r="C35" s="15">
        <v>3565180</v>
      </c>
    </row>
    <row r="36" spans="1:3" s="1" customFormat="1">
      <c r="A36" s="14" t="s">
        <v>137</v>
      </c>
      <c r="B36" s="13">
        <v>0</v>
      </c>
      <c r="C36" s="15">
        <v>0</v>
      </c>
    </row>
    <row r="37" spans="1:3" s="1" customFormat="1">
      <c r="A37" s="14" t="s">
        <v>138</v>
      </c>
      <c r="B37" s="13">
        <v>-581337.86999999895</v>
      </c>
      <c r="C37" s="15">
        <v>144363.71</v>
      </c>
    </row>
    <row r="38" spans="1:3" s="4" customFormat="1">
      <c r="A38" s="19" t="s">
        <v>139</v>
      </c>
      <c r="B38" s="13">
        <v>819968.67999999702</v>
      </c>
      <c r="C38" s="15">
        <v>238630.81</v>
      </c>
    </row>
    <row r="39" spans="1:3" s="3" customFormat="1">
      <c r="A39" s="20" t="s">
        <v>140</v>
      </c>
      <c r="B39" s="21">
        <v>238630.80999999799</v>
      </c>
      <c r="C39" s="22">
        <v>382994.52</v>
      </c>
    </row>
    <row r="40" spans="1:3" s="1" customFormat="1" ht="17.100000000000001" customHeight="1">
      <c r="A40" s="5"/>
    </row>
    <row r="41" spans="1:3" s="1" customFormat="1" ht="17.100000000000001" customHeight="1">
      <c r="A41" s="5"/>
    </row>
    <row r="42" spans="1:3" s="1" customFormat="1" ht="17.100000000000001" customHeight="1">
      <c r="A42" s="5"/>
    </row>
    <row r="43" spans="1:3" s="1" customFormat="1" ht="17.100000000000001" customHeight="1">
      <c r="A43" s="5"/>
    </row>
  </sheetData>
  <phoneticPr fontId="2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liu</cp:lastModifiedBy>
  <dcterms:created xsi:type="dcterms:W3CDTF">2021-02-05T05:45:00Z</dcterms:created>
  <dcterms:modified xsi:type="dcterms:W3CDTF">2026-03-16T05:27:50Z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E37F36B517C041F1BF7E6073928449EA_13</vt:lpwstr>
  </property>
  <property fmtid="{D5CDD505-2E9C-101B-9397-08002B2CF9AE}" pid="4" name="commondata">
    <vt:lpwstr>eyJoZGlkIjoiYzYzNTYyYmQ3Y2IxYjJmMmQzMjMyYjJkY2EyNjRlMDUifQ==</vt:lpwstr>
  </property>
  <property fmtid="{D5CDD505-2E9C-101B-9397-08002B2CF9AE}" pid="5" name="CalculationRule">
    <vt:i4>0</vt:i4>
  </property>
</Properties>
</file>
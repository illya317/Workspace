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ner\Desktop\财务报表\25年财报\"/>
    </mc:Choice>
  </mc:AlternateContent>
  <xr:revisionPtr revIDLastSave="0" documentId="13_ncr:1_{6F4B9B1B-37A4-43ED-9CFB-5B8E96E5887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资产负债表" sheetId="1" r:id="rId1"/>
    <sheet name="利润表" sheetId="2" r:id="rId2"/>
    <sheet name="现金流量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3" l="1"/>
  <c r="B40" i="3"/>
  <c r="C39" i="3"/>
  <c r="C38" i="3"/>
  <c r="B38" i="3"/>
  <c r="B36" i="3"/>
  <c r="C35" i="3"/>
  <c r="C31" i="3"/>
  <c r="B31" i="3"/>
  <c r="C26" i="3"/>
  <c r="B26" i="3"/>
  <c r="C25" i="3"/>
  <c r="B25" i="3"/>
  <c r="C21" i="3"/>
  <c r="B21" i="3"/>
  <c r="C15" i="3"/>
  <c r="B15" i="3"/>
  <c r="C14" i="3"/>
  <c r="B14" i="3"/>
  <c r="C9" i="3"/>
  <c r="B9" i="3"/>
  <c r="A3" i="3"/>
  <c r="C22" i="2"/>
  <c r="B22" i="2"/>
  <c r="C20" i="2"/>
  <c r="B20" i="2"/>
  <c r="C16" i="2"/>
  <c r="B16" i="2"/>
  <c r="G38" i="1"/>
  <c r="F38" i="1"/>
  <c r="E38" i="1"/>
  <c r="C38" i="1"/>
  <c r="B38" i="1"/>
  <c r="F37" i="1"/>
  <c r="E37" i="1"/>
  <c r="C37" i="1"/>
  <c r="B37" i="1"/>
  <c r="G36" i="1"/>
  <c r="F28" i="1"/>
  <c r="E28" i="1"/>
  <c r="C22" i="1"/>
  <c r="F18" i="1"/>
  <c r="E18" i="1"/>
  <c r="C17" i="1"/>
  <c r="B17" i="1"/>
</calcChain>
</file>

<file path=xl/sharedStrings.xml><?xml version="1.0" encoding="utf-8"?>
<sst xmlns="http://schemas.openxmlformats.org/spreadsheetml/2006/main" count="150" uniqueCount="143">
  <si>
    <r>
      <rPr>
        <b/>
        <sz val="20"/>
        <rFont val="微软雅黑"/>
        <charset val="134"/>
      </rPr>
      <t>资</t>
    </r>
    <r>
      <rPr>
        <b/>
        <sz val="20"/>
        <rFont val="Arial"/>
        <family val="2"/>
      </rPr>
      <t xml:space="preserve"> </t>
    </r>
    <r>
      <rPr>
        <b/>
        <sz val="20"/>
        <rFont val="微软雅黑"/>
        <charset val="134"/>
      </rPr>
      <t>产</t>
    </r>
    <r>
      <rPr>
        <b/>
        <sz val="20"/>
        <rFont val="Arial"/>
        <family val="2"/>
      </rPr>
      <t xml:space="preserve"> </t>
    </r>
    <r>
      <rPr>
        <b/>
        <sz val="20"/>
        <rFont val="微软雅黑"/>
        <charset val="134"/>
      </rPr>
      <t>负</t>
    </r>
    <r>
      <rPr>
        <b/>
        <sz val="20"/>
        <rFont val="Arial"/>
        <family val="2"/>
      </rPr>
      <t xml:space="preserve"> </t>
    </r>
    <r>
      <rPr>
        <b/>
        <sz val="20"/>
        <rFont val="微软雅黑"/>
        <charset val="134"/>
      </rPr>
      <t>债</t>
    </r>
    <r>
      <rPr>
        <b/>
        <sz val="20"/>
        <rFont val="Arial"/>
        <family val="2"/>
      </rPr>
      <t xml:space="preserve"> </t>
    </r>
    <r>
      <rPr>
        <b/>
        <sz val="20"/>
        <rFont val="微软雅黑"/>
        <charset val="134"/>
      </rPr>
      <t>表</t>
    </r>
  </si>
  <si>
    <r>
      <rPr>
        <sz val="10"/>
        <rFont val="微软雅黑"/>
        <charset val="134"/>
      </rPr>
      <t>编制单位：丰华生物有限公司</t>
    </r>
  </si>
  <si>
    <r>
      <rPr>
        <sz val="12"/>
        <rFont val="Arial"/>
        <family val="2"/>
      </rPr>
      <t xml:space="preserve">  </t>
    </r>
    <r>
      <rPr>
        <sz val="12"/>
        <rFont val="微软雅黑"/>
        <charset val="134"/>
      </rPr>
      <t>单位：元</t>
    </r>
  </si>
  <si>
    <r>
      <rPr>
        <b/>
        <sz val="12"/>
        <rFont val="微软雅黑"/>
        <charset val="134"/>
      </rPr>
      <t>资</t>
    </r>
    <r>
      <rPr>
        <b/>
        <sz val="12"/>
        <rFont val="Arial"/>
        <family val="2"/>
      </rPr>
      <t xml:space="preserve">    </t>
    </r>
    <r>
      <rPr>
        <b/>
        <sz val="12"/>
        <rFont val="微软雅黑"/>
        <charset val="134"/>
      </rPr>
      <t>产</t>
    </r>
  </si>
  <si>
    <t>期初余额</t>
  </si>
  <si>
    <t>期末余额</t>
  </si>
  <si>
    <t>负债及所有者权益（或股东权益）</t>
  </si>
  <si>
    <r>
      <rPr>
        <sz val="10"/>
        <rFont val="微软雅黑"/>
        <charset val="134"/>
      </rPr>
      <t>流动资产：</t>
    </r>
  </si>
  <si>
    <r>
      <rPr>
        <sz val="10"/>
        <rFont val="微软雅黑"/>
        <charset val="134"/>
      </rPr>
      <t>流动负债：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</si>
  <si>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货币资金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</si>
  <si>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短期借款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</si>
  <si>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交易性金融资产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</si>
  <si>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交易性金融负债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</si>
  <si>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衍生金融资产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</si>
  <si>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衍生金融负债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</si>
  <si>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应收票据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</si>
  <si>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应付票据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</si>
  <si>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应收账款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</si>
  <si>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应付账款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</si>
  <si>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预付款项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</si>
  <si>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预收款项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</si>
  <si>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应收利息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</si>
  <si>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应付职工薪酬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</si>
  <si>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应收股利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</si>
  <si>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应交税费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</si>
  <si>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其他应收款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</si>
  <si>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应付利息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</si>
  <si>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存货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</si>
  <si>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应付股利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</si>
  <si>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一年内到期的非流动资产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</si>
  <si>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其他应付款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</si>
  <si>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其他流动资产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</si>
  <si>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一年内到期的非流动负债</t>
    </r>
  </si>
  <si>
    <t>流动资产合计</t>
  </si>
  <si>
    <r>
      <rPr>
        <sz val="10"/>
        <rFont val="Arial"/>
        <family val="2"/>
      </rPr>
      <t xml:space="preserve">     </t>
    </r>
    <r>
      <rPr>
        <sz val="10"/>
        <rFont val="微软雅黑"/>
        <charset val="134"/>
      </rPr>
      <t>其他流动负债</t>
    </r>
  </si>
  <si>
    <r>
      <rPr>
        <sz val="10"/>
        <rFont val="微软雅黑"/>
        <charset val="134"/>
      </rPr>
      <t>非流动资产：</t>
    </r>
  </si>
  <si>
    <t>流动负债合计</t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</si>
  <si>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债权投资</t>
    </r>
  </si>
  <si>
    <r>
      <rPr>
        <sz val="10"/>
        <rFont val="微软雅黑"/>
        <charset val="134"/>
      </rPr>
      <t>非流动负债：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</si>
  <si>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其他债权投资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</si>
  <si>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长期借款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</si>
  <si>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长期应收款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</si>
  <si>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应付债券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</si>
  <si>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长期股权投资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</si>
  <si>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长期应付款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</si>
  <si>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其他权益工具投资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</si>
  <si>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专项应付款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</si>
  <si>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其他非流动金融资产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</si>
  <si>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预计负债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</si>
  <si>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投资性房地产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</si>
  <si>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递延所得税负债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</si>
  <si>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固定资产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</si>
  <si>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其他非流动负债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</si>
  <si>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在建工程</t>
    </r>
  </si>
  <si>
    <r>
      <rPr>
        <sz val="10"/>
        <rFont val="微软雅黑"/>
        <charset val="134"/>
      </rPr>
      <t>非流动负债合计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</si>
  <si>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固定资产清理</t>
    </r>
  </si>
  <si>
    <t>负债合计</t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</si>
  <si>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生产性生物资产</t>
    </r>
  </si>
  <si>
    <r>
      <rPr>
        <sz val="10"/>
        <rFont val="微软雅黑"/>
        <charset val="134"/>
      </rPr>
      <t>所有者权益</t>
    </r>
    <r>
      <rPr>
        <sz val="10"/>
        <rFont val="Arial"/>
        <family val="2"/>
      </rPr>
      <t>(</t>
    </r>
    <r>
      <rPr>
        <sz val="10"/>
        <rFont val="微软雅黑"/>
        <charset val="134"/>
      </rPr>
      <t>或股东权益</t>
    </r>
    <r>
      <rPr>
        <sz val="10"/>
        <rFont val="Arial"/>
        <family val="2"/>
      </rPr>
      <t>)</t>
    </r>
    <r>
      <rPr>
        <sz val="10"/>
        <rFont val="微软雅黑"/>
        <charset val="134"/>
      </rPr>
      <t>：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</si>
  <si>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油气资产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</si>
  <si>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实收资本</t>
    </r>
    <r>
      <rPr>
        <sz val="10"/>
        <rFont val="Arial"/>
        <family val="2"/>
      </rPr>
      <t>(</t>
    </r>
    <r>
      <rPr>
        <sz val="10"/>
        <rFont val="微软雅黑"/>
        <charset val="134"/>
      </rPr>
      <t>或股本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</si>
  <si>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无形资产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</si>
  <si>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其他权益工具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</si>
  <si>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开发支出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</si>
  <si>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资本公积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</si>
  <si>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商誉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</si>
  <si>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减：库存股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</si>
  <si>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长期待摊费用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</si>
  <si>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其他综合收益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</si>
  <si>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递延所得税资产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</si>
  <si>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盈余公积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</si>
  <si>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其他非流动资产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</si>
  <si>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未分配利润</t>
    </r>
  </si>
  <si>
    <t>以前年度损益调整</t>
  </si>
  <si>
    <t>非流动资产合计</t>
  </si>
  <si>
    <r>
      <rPr>
        <b/>
        <sz val="10"/>
        <rFont val="微软雅黑"/>
        <charset val="134"/>
      </rPr>
      <t>所有者权益</t>
    </r>
    <r>
      <rPr>
        <b/>
        <sz val="10"/>
        <rFont val="Arial"/>
        <family val="2"/>
      </rPr>
      <t>(</t>
    </r>
    <r>
      <rPr>
        <b/>
        <sz val="10"/>
        <rFont val="微软雅黑"/>
        <charset val="134"/>
      </rPr>
      <t>或股东权益</t>
    </r>
    <r>
      <rPr>
        <b/>
        <sz val="10"/>
        <rFont val="Arial"/>
        <family val="2"/>
      </rPr>
      <t>)</t>
    </r>
    <r>
      <rPr>
        <b/>
        <sz val="10"/>
        <rFont val="微软雅黑"/>
        <charset val="134"/>
      </rPr>
      <t>合计</t>
    </r>
  </si>
  <si>
    <t>资产总计</t>
  </si>
  <si>
    <r>
      <rPr>
        <b/>
        <sz val="10"/>
        <rFont val="微软雅黑"/>
        <charset val="134"/>
      </rPr>
      <t>负债和所有者权益</t>
    </r>
    <r>
      <rPr>
        <b/>
        <sz val="10"/>
        <rFont val="Arial"/>
        <family val="2"/>
      </rPr>
      <t>(</t>
    </r>
    <r>
      <rPr>
        <b/>
        <sz val="10"/>
        <rFont val="微软雅黑"/>
        <charset val="134"/>
      </rPr>
      <t>或股东权益</t>
    </r>
    <r>
      <rPr>
        <b/>
        <sz val="10"/>
        <rFont val="Arial"/>
        <family val="2"/>
      </rPr>
      <t>)</t>
    </r>
    <r>
      <rPr>
        <b/>
        <sz val="10"/>
        <rFont val="微软雅黑"/>
        <charset val="134"/>
      </rPr>
      <t>总计</t>
    </r>
  </si>
  <si>
    <r>
      <rPr>
        <b/>
        <sz val="20"/>
        <rFont val="微软雅黑"/>
        <charset val="134"/>
      </rPr>
      <t>利</t>
    </r>
    <r>
      <rPr>
        <b/>
        <sz val="20"/>
        <rFont val="Arial"/>
        <family val="2"/>
      </rPr>
      <t xml:space="preserve">  </t>
    </r>
    <r>
      <rPr>
        <b/>
        <sz val="20"/>
        <rFont val="微软雅黑"/>
        <charset val="134"/>
      </rPr>
      <t>润</t>
    </r>
    <r>
      <rPr>
        <b/>
        <sz val="20"/>
        <rFont val="Arial"/>
        <family val="2"/>
      </rPr>
      <t xml:space="preserve">  </t>
    </r>
    <r>
      <rPr>
        <b/>
        <sz val="20"/>
        <rFont val="微软雅黑"/>
        <charset val="134"/>
      </rPr>
      <t>表</t>
    </r>
  </si>
  <si>
    <t>编制单位：丰华生物有限公司</t>
  </si>
  <si>
    <t>2025年12月31日</t>
  </si>
  <si>
    <r>
      <rPr>
        <sz val="10"/>
        <rFont val="Arial"/>
        <family val="2"/>
      </rPr>
      <t xml:space="preserve">  </t>
    </r>
    <r>
      <rPr>
        <sz val="10"/>
        <rFont val="微软雅黑"/>
        <charset val="134"/>
      </rPr>
      <t>单位：元</t>
    </r>
  </si>
  <si>
    <r>
      <rPr>
        <b/>
        <sz val="12"/>
        <rFont val="微软雅黑"/>
        <charset val="134"/>
      </rPr>
      <t>项</t>
    </r>
    <r>
      <rPr>
        <b/>
        <sz val="12"/>
        <rFont val="Arial"/>
        <family val="2"/>
      </rPr>
      <t xml:space="preserve">       </t>
    </r>
    <r>
      <rPr>
        <b/>
        <sz val="12"/>
        <rFont val="微软雅黑"/>
        <charset val="134"/>
      </rPr>
      <t>目</t>
    </r>
  </si>
  <si>
    <r>
      <rPr>
        <sz val="10"/>
        <rFont val="微软雅黑"/>
        <charset val="134"/>
      </rPr>
      <t>一、营业收入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</si>
  <si>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减：营业成本</t>
    </r>
  </si>
  <si>
    <r>
      <rPr>
        <sz val="10"/>
        <rFont val="Arial"/>
        <family val="2"/>
      </rPr>
      <t xml:space="preserve">        </t>
    </r>
    <r>
      <rPr>
        <sz val="10"/>
        <rFont val="微软雅黑"/>
        <charset val="134"/>
      </rPr>
      <t>税金及附加</t>
    </r>
  </si>
  <si>
    <r>
      <rPr>
        <sz val="10"/>
        <rFont val="Arial"/>
        <family val="2"/>
      </rPr>
      <t xml:space="preserve">        </t>
    </r>
    <r>
      <rPr>
        <sz val="10"/>
        <rFont val="微软雅黑"/>
        <charset val="134"/>
      </rPr>
      <t>销售费用</t>
    </r>
  </si>
  <si>
    <r>
      <rPr>
        <sz val="10"/>
        <rFont val="Arial"/>
        <family val="2"/>
      </rPr>
      <t xml:space="preserve">        </t>
    </r>
    <r>
      <rPr>
        <sz val="10"/>
        <rFont val="微软雅黑"/>
        <charset val="134"/>
      </rPr>
      <t>管理费用</t>
    </r>
  </si>
  <si>
    <r>
      <rPr>
        <sz val="10"/>
        <rFont val="Arial"/>
        <family val="2"/>
      </rPr>
      <t xml:space="preserve">        </t>
    </r>
    <r>
      <rPr>
        <sz val="10"/>
        <rFont val="微软雅黑"/>
        <charset val="134"/>
      </rPr>
      <t>研发费用</t>
    </r>
  </si>
  <si>
    <r>
      <rPr>
        <sz val="10"/>
        <rFont val="Arial"/>
        <family val="2"/>
      </rPr>
      <t xml:space="preserve">        </t>
    </r>
    <r>
      <rPr>
        <sz val="10"/>
        <rFont val="微软雅黑"/>
        <charset val="134"/>
      </rPr>
      <t>财务费用</t>
    </r>
  </si>
  <si>
    <r>
      <rPr>
        <sz val="10"/>
        <rFont val="Arial"/>
        <family val="2"/>
      </rPr>
      <t xml:space="preserve">        </t>
    </r>
    <r>
      <rPr>
        <sz val="10"/>
        <rFont val="微软雅黑"/>
        <charset val="134"/>
      </rPr>
      <t>信用减值损失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</si>
  <si>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加：公允价值变动收益（损失以</t>
    </r>
    <r>
      <rPr>
        <sz val="10"/>
        <rFont val="Arial"/>
        <family val="2"/>
      </rPr>
      <t>"-"</t>
    </r>
    <r>
      <rPr>
        <sz val="10"/>
        <rFont val="微软雅黑"/>
        <charset val="134"/>
      </rPr>
      <t>填列）</t>
    </r>
  </si>
  <si>
    <r>
      <rPr>
        <sz val="10"/>
        <rFont val="Arial"/>
        <family val="2"/>
      </rPr>
      <t xml:space="preserve">        </t>
    </r>
    <r>
      <rPr>
        <sz val="10"/>
        <rFont val="微软雅黑"/>
        <charset val="134"/>
      </rPr>
      <t>投资收益（损失以</t>
    </r>
    <r>
      <rPr>
        <sz val="10"/>
        <rFont val="Arial"/>
        <family val="2"/>
      </rPr>
      <t>"-"</t>
    </r>
    <r>
      <rPr>
        <sz val="10"/>
        <rFont val="微软雅黑"/>
        <charset val="134"/>
      </rPr>
      <t>填列）</t>
    </r>
  </si>
  <si>
    <r>
      <rPr>
        <sz val="10"/>
        <rFont val="Arial"/>
        <family val="2"/>
      </rPr>
      <t xml:space="preserve">        </t>
    </r>
    <r>
      <rPr>
        <sz val="10"/>
        <rFont val="微软雅黑"/>
        <charset val="134"/>
      </rPr>
      <t>其中：对联营企业和合营企业的投资收益</t>
    </r>
  </si>
  <si>
    <r>
      <rPr>
        <sz val="10"/>
        <rFont val="Arial"/>
        <family val="2"/>
      </rPr>
      <t xml:space="preserve">        </t>
    </r>
    <r>
      <rPr>
        <sz val="10"/>
        <rFont val="微软雅黑"/>
        <charset val="134"/>
      </rPr>
      <t>其他收益</t>
    </r>
  </si>
  <si>
    <r>
      <rPr>
        <sz val="10"/>
        <rFont val="微软雅黑"/>
        <charset val="134"/>
      </rPr>
      <t>二、营业利润（亏损以</t>
    </r>
    <r>
      <rPr>
        <sz val="10"/>
        <rFont val="Arial"/>
        <family val="2"/>
      </rPr>
      <t>"</t>
    </r>
    <r>
      <rPr>
        <sz val="10"/>
        <rFont val="微软雅黑"/>
        <charset val="134"/>
      </rPr>
      <t>－</t>
    </r>
    <r>
      <rPr>
        <sz val="10"/>
        <rFont val="Arial"/>
        <family val="2"/>
      </rPr>
      <t>"</t>
    </r>
    <r>
      <rPr>
        <sz val="10"/>
        <rFont val="微软雅黑"/>
        <charset val="134"/>
      </rPr>
      <t>号填列）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</si>
  <si>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加：营业外收入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</si>
  <si>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减：营业外支出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</si>
  <si>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其中：非流动资产处置损失</t>
    </r>
  </si>
  <si>
    <r>
      <rPr>
        <sz val="10"/>
        <rFont val="微软雅黑"/>
        <charset val="134"/>
      </rPr>
      <t>三、利润总额（亏损总额以</t>
    </r>
    <r>
      <rPr>
        <sz val="10"/>
        <rFont val="Arial"/>
        <family val="2"/>
      </rPr>
      <t>"</t>
    </r>
    <r>
      <rPr>
        <sz val="10"/>
        <rFont val="微软雅黑"/>
        <charset val="134"/>
      </rPr>
      <t>－</t>
    </r>
    <r>
      <rPr>
        <sz val="10"/>
        <rFont val="Arial"/>
        <family val="2"/>
      </rPr>
      <t>"</t>
    </r>
    <r>
      <rPr>
        <sz val="10"/>
        <rFont val="微软雅黑"/>
        <charset val="134"/>
      </rPr>
      <t>号填列）</t>
    </r>
  </si>
  <si>
    <r>
      <rPr>
        <sz val="10"/>
        <rFont val="Arial"/>
        <family val="2"/>
      </rPr>
      <t xml:space="preserve">    </t>
    </r>
    <r>
      <rPr>
        <sz val="10"/>
        <rFont val="微软雅黑"/>
        <charset val="134"/>
      </rPr>
      <t>减：所得税费用</t>
    </r>
  </si>
  <si>
    <r>
      <rPr>
        <sz val="10"/>
        <rFont val="微软雅黑"/>
        <charset val="134"/>
      </rPr>
      <t>四、净利润（净亏损以</t>
    </r>
    <r>
      <rPr>
        <sz val="10"/>
        <rFont val="Arial"/>
        <family val="2"/>
      </rPr>
      <t>"</t>
    </r>
    <r>
      <rPr>
        <sz val="10"/>
        <rFont val="微软雅黑"/>
        <charset val="134"/>
      </rPr>
      <t>－</t>
    </r>
    <r>
      <rPr>
        <sz val="10"/>
        <rFont val="Arial"/>
        <family val="2"/>
      </rPr>
      <t>"</t>
    </r>
    <r>
      <rPr>
        <sz val="10"/>
        <rFont val="微软雅黑"/>
        <charset val="134"/>
      </rPr>
      <t>号填列）</t>
    </r>
  </si>
  <si>
    <r>
      <rPr>
        <sz val="10"/>
        <rFont val="微软雅黑"/>
        <charset val="134"/>
      </rPr>
      <t>五、每股收益：</t>
    </r>
  </si>
  <si>
    <r>
      <rPr>
        <sz val="10"/>
        <rFont val="微软雅黑"/>
        <charset val="134"/>
      </rPr>
      <t>（一）基本每股收益</t>
    </r>
  </si>
  <si>
    <r>
      <rPr>
        <sz val="10"/>
        <rFont val="微软雅黑"/>
        <charset val="134"/>
      </rPr>
      <t>（二）稀释每股收益</t>
    </r>
  </si>
  <si>
    <t>现金流量表</t>
  </si>
  <si>
    <t xml:space="preserve">  单位：元</t>
  </si>
  <si>
    <r>
      <rPr>
        <b/>
        <sz val="12"/>
        <rFont val="宋体"/>
        <charset val="134"/>
      </rPr>
      <t>项目</t>
    </r>
  </si>
  <si>
    <r>
      <rPr>
        <b/>
        <sz val="10"/>
        <rFont val="宋体"/>
        <charset val="134"/>
      </rPr>
      <t>一、经营活动产生的现金流量：</t>
    </r>
  </si>
  <si>
    <r>
      <rPr>
        <sz val="10"/>
        <rFont val="Arial"/>
        <family val="2"/>
      </rPr>
      <t xml:space="preserve">    </t>
    </r>
    <r>
      <rPr>
        <sz val="10"/>
        <rFont val="宋体"/>
        <charset val="134"/>
      </rPr>
      <t>销售商品、提供劳务收到的现金</t>
    </r>
  </si>
  <si>
    <r>
      <rPr>
        <sz val="10"/>
        <rFont val="Arial"/>
        <family val="2"/>
      </rPr>
      <t xml:space="preserve">    </t>
    </r>
    <r>
      <rPr>
        <sz val="10"/>
        <rFont val="宋体"/>
        <charset val="134"/>
      </rPr>
      <t>收到的税费返还</t>
    </r>
  </si>
  <si>
    <r>
      <rPr>
        <sz val="10"/>
        <rFont val="Arial"/>
        <family val="2"/>
      </rPr>
      <t xml:space="preserve">    </t>
    </r>
    <r>
      <rPr>
        <sz val="10"/>
        <rFont val="宋体"/>
        <charset val="134"/>
      </rPr>
      <t>收到的其他与经营活动有关的现金</t>
    </r>
  </si>
  <si>
    <r>
      <rPr>
        <b/>
        <sz val="10"/>
        <rFont val="宋体"/>
        <charset val="134"/>
      </rPr>
      <t>现金流入小计</t>
    </r>
  </si>
  <si>
    <r>
      <rPr>
        <sz val="10"/>
        <rFont val="Arial"/>
        <family val="2"/>
      </rPr>
      <t xml:space="preserve">    </t>
    </r>
    <r>
      <rPr>
        <sz val="10"/>
        <rFont val="宋体"/>
        <charset val="134"/>
      </rPr>
      <t>购买商品、接受劳务支付的现金</t>
    </r>
  </si>
  <si>
    <r>
      <rPr>
        <sz val="10"/>
        <rFont val="Arial"/>
        <family val="2"/>
      </rPr>
      <t xml:space="preserve">    </t>
    </r>
    <r>
      <rPr>
        <sz val="10"/>
        <rFont val="宋体"/>
        <charset val="134"/>
      </rPr>
      <t>支付给职工以及为职工支付的现金</t>
    </r>
  </si>
  <si>
    <r>
      <rPr>
        <sz val="10"/>
        <rFont val="Arial"/>
        <family val="2"/>
      </rPr>
      <t xml:space="preserve">    </t>
    </r>
    <r>
      <rPr>
        <sz val="10"/>
        <rFont val="宋体"/>
        <charset val="134"/>
      </rPr>
      <t>支付的各项税费</t>
    </r>
  </si>
  <si>
    <r>
      <rPr>
        <sz val="10"/>
        <rFont val="Arial"/>
        <family val="2"/>
      </rPr>
      <t xml:space="preserve">    </t>
    </r>
    <r>
      <rPr>
        <sz val="10"/>
        <rFont val="宋体"/>
        <charset val="134"/>
      </rPr>
      <t>支付的其他与经营活动有关的现金</t>
    </r>
  </si>
  <si>
    <r>
      <rPr>
        <b/>
        <sz val="10"/>
        <rFont val="宋体"/>
        <charset val="134"/>
      </rPr>
      <t>现金流出小计</t>
    </r>
  </si>
  <si>
    <r>
      <rPr>
        <b/>
        <sz val="10"/>
        <rFont val="Arial"/>
        <family val="2"/>
      </rPr>
      <t xml:space="preserve">    </t>
    </r>
    <r>
      <rPr>
        <b/>
        <sz val="10"/>
        <rFont val="宋体"/>
        <charset val="134"/>
      </rPr>
      <t>经营活动产生的现金流量净额</t>
    </r>
  </si>
  <si>
    <r>
      <rPr>
        <sz val="10"/>
        <rFont val="宋体"/>
        <charset val="134"/>
      </rPr>
      <t>二、投资活动产生的现金流量：</t>
    </r>
  </si>
  <si>
    <r>
      <rPr>
        <sz val="10"/>
        <rFont val="Arial"/>
        <family val="2"/>
      </rPr>
      <t xml:space="preserve">    </t>
    </r>
    <r>
      <rPr>
        <sz val="10"/>
        <rFont val="宋体"/>
        <charset val="134"/>
      </rPr>
      <t>收回投资所收到的现金</t>
    </r>
  </si>
  <si>
    <r>
      <rPr>
        <sz val="10"/>
        <rFont val="Arial"/>
        <family val="2"/>
      </rPr>
      <t xml:space="preserve">    </t>
    </r>
    <r>
      <rPr>
        <sz val="10"/>
        <rFont val="宋体"/>
        <charset val="134"/>
      </rPr>
      <t>取得投资收益所收到的现金</t>
    </r>
  </si>
  <si>
    <r>
      <rPr>
        <sz val="10"/>
        <rFont val="Arial"/>
        <family val="2"/>
      </rPr>
      <t xml:space="preserve">    </t>
    </r>
    <r>
      <rPr>
        <sz val="10"/>
        <rFont val="宋体"/>
        <charset val="134"/>
      </rPr>
      <t>处置固定资产、无形资产和其他长期资产所收回的现金净额</t>
    </r>
  </si>
  <si>
    <r>
      <rPr>
        <sz val="10"/>
        <rFont val="Arial"/>
        <family val="2"/>
      </rPr>
      <t xml:space="preserve">    </t>
    </r>
    <r>
      <rPr>
        <sz val="10"/>
        <rFont val="宋体"/>
        <charset val="134"/>
      </rPr>
      <t>收到的其他与投资活动有关的现金</t>
    </r>
  </si>
  <si>
    <r>
      <rPr>
        <sz val="10"/>
        <rFont val="Arial"/>
        <family val="2"/>
      </rPr>
      <t xml:space="preserve">    </t>
    </r>
    <r>
      <rPr>
        <sz val="10"/>
        <rFont val="宋体"/>
        <charset val="134"/>
      </rPr>
      <t>购建固定资产、无形资产和其他长期资产所支付的现金</t>
    </r>
  </si>
  <si>
    <r>
      <rPr>
        <sz val="10"/>
        <rFont val="Arial"/>
        <family val="2"/>
      </rPr>
      <t xml:space="preserve">    </t>
    </r>
    <r>
      <rPr>
        <sz val="10"/>
        <rFont val="宋体"/>
        <charset val="134"/>
      </rPr>
      <t>投资所支付的现金</t>
    </r>
  </si>
  <si>
    <r>
      <rPr>
        <sz val="10"/>
        <rFont val="Arial"/>
        <family val="2"/>
      </rPr>
      <t xml:space="preserve">    </t>
    </r>
    <r>
      <rPr>
        <sz val="10"/>
        <rFont val="宋体"/>
        <charset val="134"/>
      </rPr>
      <t>支付的其他与投资活动有关的现金</t>
    </r>
  </si>
  <si>
    <r>
      <rPr>
        <b/>
        <sz val="10"/>
        <rFont val="Arial"/>
        <family val="2"/>
      </rPr>
      <t xml:space="preserve">   </t>
    </r>
    <r>
      <rPr>
        <b/>
        <sz val="10"/>
        <rFont val="宋体"/>
        <charset val="134"/>
      </rPr>
      <t>投资活动产生的现金流量净额</t>
    </r>
  </si>
  <si>
    <r>
      <rPr>
        <sz val="10"/>
        <rFont val="宋体"/>
        <charset val="134"/>
      </rPr>
      <t>三、筹资活动产生的现金流量：</t>
    </r>
  </si>
  <si>
    <r>
      <rPr>
        <sz val="10"/>
        <rFont val="Arial"/>
        <family val="2"/>
      </rPr>
      <t xml:space="preserve">    </t>
    </r>
    <r>
      <rPr>
        <sz val="10"/>
        <rFont val="宋体"/>
        <charset val="134"/>
      </rPr>
      <t>吸收投资所收到的现金</t>
    </r>
  </si>
  <si>
    <r>
      <rPr>
        <sz val="10"/>
        <rFont val="Arial"/>
        <family val="2"/>
      </rPr>
      <t xml:space="preserve">    </t>
    </r>
    <r>
      <rPr>
        <sz val="10"/>
        <rFont val="宋体"/>
        <charset val="134"/>
      </rPr>
      <t>借款所收到的现金</t>
    </r>
  </si>
  <si>
    <r>
      <rPr>
        <sz val="10"/>
        <rFont val="Arial"/>
        <family val="2"/>
      </rPr>
      <t xml:space="preserve">    </t>
    </r>
    <r>
      <rPr>
        <sz val="10"/>
        <rFont val="宋体"/>
        <charset val="134"/>
      </rPr>
      <t>收到的其他与筹资活动有关的现金</t>
    </r>
  </si>
  <si>
    <r>
      <rPr>
        <sz val="10"/>
        <rFont val="Arial"/>
        <family val="2"/>
      </rPr>
      <t xml:space="preserve">    </t>
    </r>
    <r>
      <rPr>
        <sz val="10"/>
        <rFont val="宋体"/>
        <charset val="134"/>
      </rPr>
      <t>偿还债务所支付的现金</t>
    </r>
  </si>
  <si>
    <r>
      <rPr>
        <sz val="10"/>
        <rFont val="Arial"/>
        <family val="2"/>
      </rPr>
      <t xml:space="preserve">    </t>
    </r>
    <r>
      <rPr>
        <sz val="10"/>
        <rFont val="宋体"/>
        <charset val="134"/>
      </rPr>
      <t>分配股利、利润或偿付利息所支付的现金</t>
    </r>
  </si>
  <si>
    <r>
      <rPr>
        <sz val="10"/>
        <rFont val="Arial"/>
        <family val="2"/>
      </rPr>
      <t xml:space="preserve">    </t>
    </r>
    <r>
      <rPr>
        <sz val="10"/>
        <rFont val="宋体"/>
        <charset val="134"/>
      </rPr>
      <t>支付的其他与筹资活动有关的现金</t>
    </r>
  </si>
  <si>
    <r>
      <rPr>
        <b/>
        <sz val="10"/>
        <rFont val="Arial"/>
        <family val="2"/>
      </rPr>
      <t xml:space="preserve">    </t>
    </r>
    <r>
      <rPr>
        <b/>
        <sz val="10"/>
        <rFont val="宋体"/>
        <charset val="134"/>
      </rPr>
      <t>筹资活动产生的现金流量净额</t>
    </r>
  </si>
  <si>
    <r>
      <rPr>
        <sz val="10"/>
        <rFont val="宋体"/>
        <charset val="134"/>
      </rPr>
      <t>四、汇率变动对现金的影响</t>
    </r>
  </si>
  <si>
    <r>
      <rPr>
        <sz val="10"/>
        <rFont val="宋体"/>
        <charset val="134"/>
      </rPr>
      <t>五、现金及现金等价物净增加额</t>
    </r>
  </si>
  <si>
    <r>
      <rPr>
        <sz val="10"/>
        <color theme="1"/>
        <rFont val="宋体"/>
        <charset val="134"/>
      </rPr>
      <t>加：期初现金及现金等价物余额</t>
    </r>
  </si>
  <si>
    <r>
      <rPr>
        <b/>
        <sz val="10"/>
        <color theme="1"/>
        <rFont val="宋体"/>
        <charset val="134"/>
      </rPr>
      <t>期末现金及现金等价物余额</t>
    </r>
  </si>
  <si>
    <t>2024年金额</t>
    <phoneticPr fontId="29" type="noConversion"/>
  </si>
  <si>
    <t>2025年金额</t>
    <phoneticPr fontId="29" type="noConversion"/>
  </si>
  <si>
    <r>
      <t>2024</t>
    </r>
    <r>
      <rPr>
        <b/>
        <sz val="12"/>
        <rFont val="宋体"/>
        <charset val="134"/>
      </rPr>
      <t>年</t>
    </r>
    <r>
      <rPr>
        <b/>
        <sz val="12"/>
        <rFont val="宋体"/>
        <family val="2"/>
        <charset val="134"/>
      </rPr>
      <t>金额</t>
    </r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</si>
</sst>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0.00_ "/>
    <numFmt numFmtId="177" formatCode="##,###.00"/>
    <numFmt numFmtId="178" formatCode="#,##0.00_ "/>
    <numFmt numFmtId="179" formatCode="#,##0.000000000_ "/>
  </numFmts>
  <fonts count="33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0"/>
      <name val="Arial"/>
      <family val="2"/>
    </font>
    <font>
      <sz val="11"/>
      <name val="宋体"/>
      <charset val="134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Times New Roman"/>
      <family val="1"/>
    </font>
    <font>
      <sz val="12"/>
      <name val="宋体"/>
      <charset val="134"/>
    </font>
    <font>
      <b/>
      <sz val="18"/>
      <color theme="1"/>
      <name val="宋体"/>
      <charset val="134"/>
    </font>
    <font>
      <sz val="10"/>
      <color indexed="8"/>
      <name val="Arial"/>
      <family val="2"/>
    </font>
    <font>
      <sz val="10"/>
      <color indexed="8"/>
      <name val="宋体"/>
      <charset val="134"/>
    </font>
    <font>
      <b/>
      <sz val="12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name val="Arial"/>
      <family val="2"/>
    </font>
    <font>
      <b/>
      <sz val="20"/>
      <name val="Arial"/>
      <family val="2"/>
    </font>
    <font>
      <sz val="10"/>
      <name val="微软雅黑"/>
      <charset val="134"/>
    </font>
    <font>
      <b/>
      <sz val="12"/>
      <name val="微软雅黑"/>
      <charset val="134"/>
    </font>
    <font>
      <sz val="11"/>
      <name val="Arial"/>
      <family val="2"/>
    </font>
    <font>
      <b/>
      <sz val="10"/>
      <name val="微软雅黑"/>
      <charset val="134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b/>
      <sz val="10"/>
      <color theme="1"/>
      <name val="宋体"/>
      <charset val="134"/>
    </font>
    <font>
      <sz val="12"/>
      <name val="微软雅黑"/>
      <charset val="134"/>
    </font>
    <font>
      <b/>
      <sz val="20"/>
      <name val="微软雅黑"/>
      <charset val="134"/>
    </font>
    <font>
      <sz val="10"/>
      <color theme="1"/>
      <name val="宋体"/>
      <charset val="134"/>
    </font>
    <font>
      <sz val="9"/>
      <name val="宋体"/>
      <charset val="134"/>
      <scheme val="minor"/>
    </font>
    <font>
      <b/>
      <sz val="12"/>
      <name val="微软雅黑"/>
      <family val="2"/>
      <charset val="134"/>
    </font>
    <font>
      <b/>
      <sz val="12"/>
      <name val="宋体"/>
      <family val="2"/>
      <charset val="134"/>
    </font>
    <font>
      <b/>
      <sz val="12"/>
      <color rgb="FF000000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/>
    <xf numFmtId="43" fontId="22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22" fillId="0" borderId="0" xfId="2" applyAlignment="1"/>
    <xf numFmtId="0" fontId="2" fillId="0" borderId="0" xfId="2" applyFont="1">
      <alignment vertical="center"/>
    </xf>
    <xf numFmtId="0" fontId="3" fillId="0" borderId="0" xfId="2" applyFont="1">
      <alignment vertical="center"/>
    </xf>
    <xf numFmtId="0" fontId="4" fillId="0" borderId="0" xfId="2" applyFont="1" applyAlignment="1"/>
    <xf numFmtId="0" fontId="5" fillId="0" borderId="0" xfId="2" applyFont="1" applyAlignment="1"/>
    <xf numFmtId="0" fontId="6" fillId="0" borderId="0" xfId="2" applyFont="1" applyAlignment="1"/>
    <xf numFmtId="0" fontId="7" fillId="0" borderId="0" xfId="2" applyFont="1">
      <alignment vertical="center"/>
    </xf>
    <xf numFmtId="0" fontId="8" fillId="0" borderId="0" xfId="2" applyFont="1">
      <alignment vertical="center"/>
    </xf>
    <xf numFmtId="0" fontId="9" fillId="0" borderId="0" xfId="2" applyFont="1" applyAlignment="1">
      <alignment horizontal="center" vertical="center"/>
    </xf>
    <xf numFmtId="49" fontId="10" fillId="0" borderId="0" xfId="2" applyNumberFormat="1" applyFont="1" applyAlignment="1">
      <alignment horizontal="right" vertical="justify"/>
    </xf>
    <xf numFmtId="49" fontId="2" fillId="0" borderId="0" xfId="2" applyNumberFormat="1" applyFont="1">
      <alignment vertical="center"/>
    </xf>
    <xf numFmtId="31" fontId="3" fillId="0" borderId="0" xfId="2" applyNumberFormat="1" applyFont="1">
      <alignment vertical="center"/>
    </xf>
    <xf numFmtId="49" fontId="11" fillId="0" borderId="0" xfId="2" applyNumberFormat="1" applyFont="1" applyAlignment="1">
      <alignment horizontal="right" vertical="justify"/>
    </xf>
    <xf numFmtId="0" fontId="12" fillId="0" borderId="1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43" fontId="2" fillId="0" borderId="1" xfId="4" applyFont="1" applyBorder="1" applyAlignment="1">
      <alignment horizontal="center" vertical="center"/>
    </xf>
    <xf numFmtId="43" fontId="6" fillId="0" borderId="1" xfId="1" applyFont="1" applyBorder="1" applyAlignment="1"/>
    <xf numFmtId="0" fontId="2" fillId="0" borderId="1" xfId="2" applyFont="1" applyBorder="1">
      <alignment vertical="center"/>
    </xf>
    <xf numFmtId="43" fontId="5" fillId="0" borderId="1" xfId="4" applyFont="1" applyBorder="1" applyAlignment="1">
      <alignment horizontal="center"/>
    </xf>
    <xf numFmtId="43" fontId="6" fillId="0" borderId="1" xfId="1" applyFont="1" applyBorder="1" applyAlignment="1">
      <alignment vertical="center"/>
    </xf>
    <xf numFmtId="43" fontId="5" fillId="0" borderId="1" xfId="1" applyFont="1" applyBorder="1" applyAlignment="1">
      <alignment vertical="center"/>
    </xf>
    <xf numFmtId="43" fontId="14" fillId="0" borderId="1" xfId="4" applyFont="1" applyBorder="1" applyAlignment="1">
      <alignment horizontal="center" vertical="center"/>
    </xf>
    <xf numFmtId="43" fontId="5" fillId="0" borderId="0" xfId="2" applyNumberFormat="1" applyFont="1" applyAlignment="1"/>
    <xf numFmtId="43" fontId="13" fillId="0" borderId="1" xfId="4" applyFont="1" applyBorder="1" applyAlignment="1">
      <alignment horizontal="center" vertical="center"/>
    </xf>
    <xf numFmtId="43" fontId="15" fillId="0" borderId="1" xfId="4" applyFont="1" applyBorder="1" applyAlignment="1">
      <alignment horizontal="center" vertical="center"/>
    </xf>
    <xf numFmtId="43" fontId="15" fillId="0" borderId="1" xfId="1" applyFont="1" applyBorder="1" applyAlignment="1">
      <alignment horizontal="center" vertical="center"/>
    </xf>
    <xf numFmtId="43" fontId="5" fillId="0" borderId="1" xfId="4" applyFont="1" applyBorder="1" applyAlignment="1">
      <alignment horizontal="center" vertical="center"/>
    </xf>
    <xf numFmtId="43" fontId="5" fillId="0" borderId="1" xfId="1" applyFont="1" applyBorder="1" applyAlignment="1">
      <alignment horizontal="center" vertical="center"/>
    </xf>
    <xf numFmtId="0" fontId="5" fillId="0" borderId="1" xfId="2" applyFont="1" applyBorder="1">
      <alignment vertical="center"/>
    </xf>
    <xf numFmtId="0" fontId="6" fillId="0" borderId="1" xfId="2" applyFont="1" applyBorder="1">
      <alignment vertical="center"/>
    </xf>
    <xf numFmtId="43" fontId="6" fillId="0" borderId="1" xfId="4" applyFont="1" applyBorder="1" applyAlignment="1">
      <alignment horizontal="center" vertical="center"/>
    </xf>
    <xf numFmtId="176" fontId="6" fillId="0" borderId="0" xfId="2" applyNumberFormat="1" applyFont="1" applyAlignment="1"/>
    <xf numFmtId="43" fontId="22" fillId="0" borderId="0" xfId="2" applyNumberFormat="1" applyAlignment="1"/>
    <xf numFmtId="0" fontId="2" fillId="0" borderId="0" xfId="0" applyFont="1">
      <alignment vertical="center"/>
    </xf>
    <xf numFmtId="0" fontId="16" fillId="0" borderId="0" xfId="0" applyFont="1">
      <alignment vertical="center"/>
    </xf>
    <xf numFmtId="49" fontId="17" fillId="0" borderId="0" xfId="0" applyNumberFormat="1" applyFont="1" applyAlignment="1">
      <alignment horizontal="centerContinuous" vertical="center"/>
    </xf>
    <xf numFmtId="0" fontId="16" fillId="0" borderId="0" xfId="0" applyFont="1" applyAlignment="1">
      <alignment horizontal="centerContinuous" vertical="center"/>
    </xf>
    <xf numFmtId="49" fontId="18" fillId="0" borderId="0" xfId="0" applyNumberFormat="1" applyFont="1">
      <alignment vertical="center"/>
    </xf>
    <xf numFmtId="49" fontId="2" fillId="0" borderId="0" xfId="2" applyNumberFormat="1" applyFont="1" applyAlignment="1">
      <alignment horizontal="right" vertical="justify"/>
    </xf>
    <xf numFmtId="49" fontId="1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justify" vertical="center"/>
    </xf>
    <xf numFmtId="43" fontId="2" fillId="0" borderId="1" xfId="1" applyFont="1" applyBorder="1" applyAlignment="1">
      <alignment horizontal="right" vertical="center"/>
    </xf>
    <xf numFmtId="0" fontId="2" fillId="0" borderId="1" xfId="0" applyFont="1" applyBorder="1">
      <alignment vertical="center"/>
    </xf>
    <xf numFmtId="43" fontId="2" fillId="0" borderId="1" xfId="1" applyFont="1" applyFill="1" applyBorder="1" applyAlignment="1">
      <alignment horizontal="right" vertical="center"/>
    </xf>
    <xf numFmtId="0" fontId="20" fillId="0" borderId="0" xfId="3" applyFont="1"/>
    <xf numFmtId="49" fontId="16" fillId="0" borderId="0" xfId="0" applyNumberFormat="1" applyFont="1">
      <alignment vertical="center"/>
    </xf>
    <xf numFmtId="0" fontId="2" fillId="0" borderId="1" xfId="0" applyFont="1" applyBorder="1" applyAlignment="1">
      <alignment horizontal="right" vertical="center"/>
    </xf>
    <xf numFmtId="49" fontId="16" fillId="0" borderId="0" xfId="0" applyNumberFormat="1" applyFont="1" applyAlignment="1">
      <alignment horizontal="justify" vertical="center"/>
    </xf>
    <xf numFmtId="0" fontId="16" fillId="0" borderId="0" xfId="0" applyFont="1" applyAlignment="1">
      <alignment horizontal="right" vertical="center"/>
    </xf>
    <xf numFmtId="43" fontId="16" fillId="0" borderId="0" xfId="1" applyFont="1" applyAlignment="1">
      <alignment horizontal="justify" vertical="center"/>
    </xf>
    <xf numFmtId="0" fontId="12" fillId="0" borderId="0" xfId="0" applyFont="1">
      <alignment vertical="center"/>
    </xf>
    <xf numFmtId="0" fontId="16" fillId="0" borderId="0" xfId="0" applyFont="1" applyAlignment="1"/>
    <xf numFmtId="49" fontId="20" fillId="0" borderId="0" xfId="0" applyNumberFormat="1" applyFont="1" applyAlignment="1">
      <alignment horizontal="left" vertical="center"/>
    </xf>
    <xf numFmtId="31" fontId="2" fillId="0" borderId="0" xfId="0" applyNumberFormat="1" applyFont="1" applyAlignment="1">
      <alignment horizontal="justify"/>
    </xf>
    <xf numFmtId="49" fontId="1" fillId="0" borderId="1" xfId="0" applyNumberFormat="1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 applyProtection="1">
      <alignment vertical="center" wrapText="1"/>
      <protection locked="0"/>
    </xf>
    <xf numFmtId="0" fontId="2" fillId="0" borderId="1" xfId="0" applyFont="1" applyBorder="1" applyAlignment="1" applyProtection="1">
      <alignment wrapText="1"/>
      <protection locked="0"/>
    </xf>
    <xf numFmtId="49" fontId="2" fillId="0" borderId="1" xfId="0" applyNumberFormat="1" applyFont="1" applyBorder="1" applyAlignment="1">
      <alignment horizontal="justify"/>
    </xf>
    <xf numFmtId="0" fontId="2" fillId="0" borderId="1" xfId="0" applyFont="1" applyBorder="1" applyProtection="1">
      <alignment vertical="center"/>
      <protection locked="0"/>
    </xf>
    <xf numFmtId="0" fontId="2" fillId="0" borderId="1" xfId="0" applyFont="1" applyBorder="1" applyAlignment="1" applyProtection="1">
      <protection locked="0"/>
    </xf>
    <xf numFmtId="0" fontId="21" fillId="0" borderId="1" xfId="0" applyFont="1" applyBorder="1" applyAlignment="1" applyProtection="1">
      <alignment horizontal="left" vertical="center" wrapText="1"/>
      <protection locked="0"/>
    </xf>
    <xf numFmtId="0" fontId="21" fillId="0" borderId="1" xfId="0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0" fontId="8" fillId="0" borderId="0" xfId="0" applyFont="1">
      <alignment vertical="center"/>
    </xf>
    <xf numFmtId="0" fontId="2" fillId="0" borderId="0" xfId="0" applyFont="1" applyAlignment="1" applyProtection="1">
      <alignment horizontal="left" vertical="center" wrapText="1"/>
      <protection locked="0"/>
    </xf>
    <xf numFmtId="177" fontId="2" fillId="0" borderId="0" xfId="0" applyNumberFormat="1" applyFont="1" applyAlignment="1">
      <alignment horizontal="right" vertical="center"/>
    </xf>
    <xf numFmtId="0" fontId="2" fillId="0" borderId="0" xfId="0" applyFont="1" applyAlignment="1" applyProtection="1">
      <alignment horizontal="left" wrapText="1"/>
      <protection locked="0"/>
    </xf>
    <xf numFmtId="49" fontId="20" fillId="0" borderId="0" xfId="0" applyNumberFormat="1" applyFont="1" applyAlignment="1">
      <alignment horizontal="justify" vertical="justify"/>
    </xf>
    <xf numFmtId="49" fontId="20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center"/>
    </xf>
    <xf numFmtId="178" fontId="16" fillId="0" borderId="0" xfId="0" applyNumberFormat="1" applyFont="1">
      <alignment vertical="center"/>
    </xf>
    <xf numFmtId="0" fontId="16" fillId="0" borderId="0" xfId="0" applyFont="1" applyAlignment="1">
      <alignment horizontal="justify" vertical="justify"/>
    </xf>
    <xf numFmtId="0" fontId="16" fillId="0" borderId="0" xfId="0" applyFont="1" applyAlignment="1">
      <alignment horizontal="justify" vertical="center"/>
    </xf>
    <xf numFmtId="0" fontId="16" fillId="0" borderId="0" xfId="0" applyFont="1" applyAlignment="1">
      <alignment horizontal="justify"/>
    </xf>
    <xf numFmtId="179" fontId="16" fillId="0" borderId="0" xfId="0" applyNumberFormat="1" applyFont="1" applyAlignment="1"/>
    <xf numFmtId="43" fontId="16" fillId="0" borderId="0" xfId="1" applyFont="1">
      <alignment vertical="center"/>
    </xf>
    <xf numFmtId="49" fontId="30" fillId="0" borderId="1" xfId="0" applyNumberFormat="1" applyFont="1" applyBorder="1" applyAlignment="1">
      <alignment horizontal="center" vertical="center"/>
    </xf>
    <xf numFmtId="49" fontId="32" fillId="0" borderId="1" xfId="0" applyNumberFormat="1" applyFont="1" applyBorder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justify"/>
    </xf>
    <xf numFmtId="49" fontId="20" fillId="0" borderId="0" xfId="0" applyNumberFormat="1" applyFont="1" applyAlignment="1">
      <alignment horizontal="left" vertical="center"/>
    </xf>
  </cellXfs>
  <cellStyles count="5">
    <cellStyle name="常规" xfId="0" builtinId="0"/>
    <cellStyle name="常规 2" xfId="2" xr:uid="{00000000-0005-0000-0000-000031000000}"/>
    <cellStyle name="常规 3" xfId="3" xr:uid="{00000000-0005-0000-0000-000032000000}"/>
    <cellStyle name="千位分隔" xfId="1" builtinId="3"/>
    <cellStyle name="千位分隔 2" xfId="4" xr:uid="{00000000-0005-0000-0000-000033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3"/>
  <sheetViews>
    <sheetView workbookViewId="0">
      <pane xSplit="1" ySplit="3" topLeftCell="B14" activePane="bottomRight" state="frozen"/>
      <selection pane="topRight"/>
      <selection pane="bottomLeft"/>
      <selection pane="bottomRight" activeCell="E24" sqref="E24"/>
    </sheetView>
  </sheetViews>
  <sheetFormatPr defaultColWidth="9" defaultRowHeight="15"/>
  <cols>
    <col min="1" max="1" width="22.6640625" style="35" customWidth="1"/>
    <col min="2" max="3" width="14.44140625" style="35" customWidth="1"/>
    <col min="4" max="4" width="21.6640625" style="52" customWidth="1"/>
    <col min="5" max="6" width="14.77734375" style="35" customWidth="1"/>
    <col min="7" max="7" width="12.88671875" style="35" hidden="1" customWidth="1"/>
    <col min="8" max="8" width="9" style="35" hidden="1" customWidth="1"/>
    <col min="9" max="9" width="14.109375" style="35"/>
    <col min="10" max="16384" width="9" style="35"/>
  </cols>
  <sheetData>
    <row r="1" spans="1:6" ht="34.049999999999997" customHeight="1">
      <c r="A1" s="80" t="s">
        <v>0</v>
      </c>
      <c r="B1" s="80"/>
      <c r="C1" s="80"/>
      <c r="D1" s="80"/>
      <c r="E1" s="80"/>
      <c r="F1" s="80"/>
    </row>
    <row r="2" spans="1:6" ht="15" customHeight="1">
      <c r="A2" s="81" t="s">
        <v>1</v>
      </c>
      <c r="B2" s="82"/>
      <c r="C2" s="53"/>
      <c r="D2" s="54">
        <v>46022</v>
      </c>
      <c r="E2" s="49"/>
      <c r="F2" s="49" t="s">
        <v>2</v>
      </c>
    </row>
    <row r="3" spans="1:6" ht="40.950000000000003" customHeight="1">
      <c r="A3" s="40" t="s">
        <v>3</v>
      </c>
      <c r="B3" s="55" t="s">
        <v>4</v>
      </c>
      <c r="C3" s="55" t="s">
        <v>5</v>
      </c>
      <c r="D3" s="56" t="s">
        <v>6</v>
      </c>
      <c r="E3" s="55" t="s">
        <v>4</v>
      </c>
      <c r="F3" s="55" t="s">
        <v>5</v>
      </c>
    </row>
    <row r="4" spans="1:6">
      <c r="A4" s="57" t="s">
        <v>7</v>
      </c>
      <c r="B4" s="27"/>
      <c r="C4" s="27"/>
      <c r="D4" s="58" t="s">
        <v>8</v>
      </c>
      <c r="E4" s="27"/>
      <c r="F4" s="27"/>
    </row>
    <row r="5" spans="1:6">
      <c r="A5" s="57" t="s">
        <v>9</v>
      </c>
      <c r="B5" s="27">
        <v>1746622.76</v>
      </c>
      <c r="C5" s="27">
        <v>1741312.97</v>
      </c>
      <c r="D5" s="58" t="s">
        <v>10</v>
      </c>
      <c r="E5" s="27"/>
      <c r="F5" s="27"/>
    </row>
    <row r="6" spans="1:6">
      <c r="A6" s="57" t="s">
        <v>11</v>
      </c>
      <c r="B6" s="27"/>
      <c r="C6" s="27"/>
      <c r="D6" s="58" t="s">
        <v>12</v>
      </c>
      <c r="E6" s="27"/>
      <c r="F6" s="27"/>
    </row>
    <row r="7" spans="1:6">
      <c r="A7" s="57" t="s">
        <v>13</v>
      </c>
      <c r="B7" s="27"/>
      <c r="C7" s="27"/>
      <c r="D7" s="58" t="s">
        <v>14</v>
      </c>
      <c r="E7" s="27"/>
      <c r="F7" s="27"/>
    </row>
    <row r="8" spans="1:6">
      <c r="A8" s="57" t="s">
        <v>15</v>
      </c>
      <c r="B8" s="27"/>
      <c r="C8" s="27"/>
      <c r="D8" s="58" t="s">
        <v>16</v>
      </c>
      <c r="E8" s="27"/>
      <c r="F8" s="27"/>
    </row>
    <row r="9" spans="1:6">
      <c r="A9" s="57" t="s">
        <v>17</v>
      </c>
      <c r="B9" s="27"/>
      <c r="C9" s="27"/>
      <c r="D9" s="58" t="s">
        <v>18</v>
      </c>
      <c r="E9" s="27">
        <v>58835772.770000003</v>
      </c>
      <c r="F9" s="27">
        <v>55889238.969999999</v>
      </c>
    </row>
    <row r="10" spans="1:6">
      <c r="A10" s="57" t="s">
        <v>19</v>
      </c>
      <c r="B10" s="27">
        <v>303583</v>
      </c>
      <c r="C10" s="27">
        <v>203000</v>
      </c>
      <c r="D10" s="58" t="s">
        <v>20</v>
      </c>
      <c r="E10" s="27"/>
      <c r="F10" s="27"/>
    </row>
    <row r="11" spans="1:6">
      <c r="A11" s="41" t="s">
        <v>21</v>
      </c>
      <c r="B11" s="27"/>
      <c r="C11" s="27"/>
      <c r="D11" s="58" t="s">
        <v>22</v>
      </c>
      <c r="E11" s="27">
        <v>930083.64</v>
      </c>
      <c r="F11" s="27">
        <v>2567951.9700000002</v>
      </c>
    </row>
    <row r="12" spans="1:6">
      <c r="A12" s="41" t="s">
        <v>23</v>
      </c>
      <c r="B12" s="27"/>
      <c r="C12" s="27"/>
      <c r="D12" s="58" t="s">
        <v>24</v>
      </c>
      <c r="E12" s="27">
        <v>118963.07</v>
      </c>
      <c r="F12" s="27">
        <v>199628.32</v>
      </c>
    </row>
    <row r="13" spans="1:6">
      <c r="A13" s="57" t="s">
        <v>25</v>
      </c>
      <c r="B13" s="27">
        <v>47095610.020000003</v>
      </c>
      <c r="C13" s="27">
        <v>65193534.200000003</v>
      </c>
      <c r="D13" s="59" t="s">
        <v>26</v>
      </c>
      <c r="E13" s="27"/>
      <c r="F13" s="27"/>
    </row>
    <row r="14" spans="1:6">
      <c r="A14" s="57" t="s">
        <v>27</v>
      </c>
      <c r="B14" s="27">
        <v>6126756.7000000002</v>
      </c>
      <c r="C14" s="27">
        <v>6126756.3600000003</v>
      </c>
      <c r="D14" s="59" t="s">
        <v>28</v>
      </c>
      <c r="E14" s="27"/>
      <c r="F14" s="27"/>
    </row>
    <row r="15" spans="1:6">
      <c r="A15" s="60" t="s">
        <v>29</v>
      </c>
      <c r="B15" s="27"/>
      <c r="C15" s="27"/>
      <c r="D15" s="58" t="s">
        <v>30</v>
      </c>
      <c r="E15" s="27">
        <v>116956355.81</v>
      </c>
      <c r="F15" s="27">
        <v>138194970.91999999</v>
      </c>
    </row>
    <row r="16" spans="1:6">
      <c r="A16" s="57" t="s">
        <v>31</v>
      </c>
      <c r="B16" s="27">
        <v>16200686.369999999</v>
      </c>
      <c r="C16" s="27">
        <v>14408366.08</v>
      </c>
      <c r="D16" s="61" t="s">
        <v>32</v>
      </c>
      <c r="E16" s="27"/>
      <c r="F16" s="27"/>
    </row>
    <row r="17" spans="1:6" s="51" customFormat="1" ht="15.6">
      <c r="A17" s="62" t="s">
        <v>33</v>
      </c>
      <c r="B17" s="31">
        <f>SUM(B5:B16)</f>
        <v>71473258.849999994</v>
      </c>
      <c r="C17" s="31">
        <f>SUM(C5:C16)</f>
        <v>87672969.609999999</v>
      </c>
      <c r="D17" s="58" t="s">
        <v>34</v>
      </c>
      <c r="E17" s="27"/>
      <c r="F17" s="27"/>
    </row>
    <row r="18" spans="1:6" ht="15.6">
      <c r="A18" s="57" t="s">
        <v>35</v>
      </c>
      <c r="B18" s="27"/>
      <c r="C18" s="27"/>
      <c r="D18" s="63" t="s">
        <v>36</v>
      </c>
      <c r="E18" s="31">
        <f>SUM(E5:E17)</f>
        <v>176841175.28999999</v>
      </c>
      <c r="F18" s="31">
        <f>SUM(F5:F17)</f>
        <v>196851790.18000001</v>
      </c>
    </row>
    <row r="19" spans="1:6">
      <c r="A19" s="57" t="s">
        <v>37</v>
      </c>
      <c r="B19" s="27"/>
      <c r="C19" s="27"/>
      <c r="D19" s="58" t="s">
        <v>38</v>
      </c>
      <c r="E19" s="27"/>
      <c r="F19" s="27"/>
    </row>
    <row r="20" spans="1:6">
      <c r="A20" s="57" t="s">
        <v>39</v>
      </c>
      <c r="B20" s="27"/>
      <c r="C20" s="27"/>
      <c r="D20" s="58" t="s">
        <v>40</v>
      </c>
      <c r="E20" s="27"/>
      <c r="F20" s="27"/>
    </row>
    <row r="21" spans="1:6">
      <c r="A21" s="57" t="s">
        <v>41</v>
      </c>
      <c r="B21" s="27"/>
      <c r="C21" s="27"/>
      <c r="D21" s="58" t="s">
        <v>42</v>
      </c>
      <c r="E21" s="27"/>
      <c r="F21" s="27"/>
    </row>
    <row r="22" spans="1:6">
      <c r="A22" s="57" t="s">
        <v>43</v>
      </c>
      <c r="B22" s="27">
        <v>82000000</v>
      </c>
      <c r="C22" s="27">
        <f>B22</f>
        <v>82000000</v>
      </c>
      <c r="D22" s="58" t="s">
        <v>44</v>
      </c>
      <c r="E22" s="27"/>
      <c r="F22" s="27"/>
    </row>
    <row r="23" spans="1:6">
      <c r="A23" s="57" t="s">
        <v>45</v>
      </c>
      <c r="B23" s="27"/>
      <c r="C23" s="27"/>
      <c r="D23" s="58" t="s">
        <v>46</v>
      </c>
      <c r="E23" s="27"/>
      <c r="F23" s="27"/>
    </row>
    <row r="24" spans="1:6">
      <c r="A24" s="57" t="s">
        <v>47</v>
      </c>
      <c r="B24" s="27"/>
      <c r="C24" s="27"/>
      <c r="D24" s="58" t="s">
        <v>48</v>
      </c>
      <c r="E24" s="27"/>
      <c r="F24" s="27"/>
    </row>
    <row r="25" spans="1:6">
      <c r="A25" s="57" t="s">
        <v>49</v>
      </c>
      <c r="B25" s="27"/>
      <c r="C25" s="27"/>
      <c r="D25" s="58" t="s">
        <v>50</v>
      </c>
      <c r="E25" s="27"/>
      <c r="F25" s="27"/>
    </row>
    <row r="26" spans="1:6">
      <c r="A26" s="57" t="s">
        <v>51</v>
      </c>
      <c r="B26" s="27">
        <v>141021.22</v>
      </c>
      <c r="C26" s="27">
        <v>97735.18</v>
      </c>
      <c r="D26" s="58" t="s">
        <v>52</v>
      </c>
      <c r="E26" s="27"/>
      <c r="F26" s="27"/>
    </row>
    <row r="27" spans="1:6">
      <c r="A27" s="57" t="s">
        <v>53</v>
      </c>
      <c r="B27" s="27">
        <v>12249183.65</v>
      </c>
      <c r="C27" s="27">
        <v>12249183.65</v>
      </c>
      <c r="D27" s="64" t="s">
        <v>54</v>
      </c>
      <c r="E27" s="27"/>
      <c r="F27" s="27"/>
    </row>
    <row r="28" spans="1:6" ht="15.6">
      <c r="A28" s="43" t="s">
        <v>55</v>
      </c>
      <c r="B28" s="27"/>
      <c r="C28" s="27"/>
      <c r="D28" s="63" t="s">
        <v>56</v>
      </c>
      <c r="E28" s="31">
        <f>E18+E27</f>
        <v>176841175.28999999</v>
      </c>
      <c r="F28" s="31">
        <f>F18+F27</f>
        <v>196851790.18000001</v>
      </c>
    </row>
    <row r="29" spans="1:6" ht="30">
      <c r="A29" s="57" t="s">
        <v>57</v>
      </c>
      <c r="B29" s="27"/>
      <c r="C29" s="27"/>
      <c r="D29" s="64" t="s">
        <v>58</v>
      </c>
      <c r="E29" s="27"/>
      <c r="F29" s="27"/>
    </row>
    <row r="30" spans="1:6">
      <c r="A30" s="57" t="s">
        <v>59</v>
      </c>
      <c r="B30" s="27"/>
      <c r="C30" s="27"/>
      <c r="D30" s="58" t="s">
        <v>60</v>
      </c>
      <c r="E30" s="27">
        <v>112879600</v>
      </c>
      <c r="F30" s="27">
        <v>112879600</v>
      </c>
    </row>
    <row r="31" spans="1:6">
      <c r="A31" s="57" t="s">
        <v>61</v>
      </c>
      <c r="B31" s="27">
        <v>9941978.2400000002</v>
      </c>
      <c r="C31" s="27">
        <v>9655273.6400000006</v>
      </c>
      <c r="D31" s="58" t="s">
        <v>62</v>
      </c>
      <c r="E31" s="27"/>
      <c r="F31" s="27"/>
    </row>
    <row r="32" spans="1:6">
      <c r="A32" s="57" t="s">
        <v>63</v>
      </c>
      <c r="B32" s="27"/>
      <c r="C32" s="27"/>
      <c r="D32" s="58" t="s">
        <v>64</v>
      </c>
      <c r="E32" s="27">
        <v>230813700</v>
      </c>
      <c r="F32" s="27">
        <v>230813700</v>
      </c>
    </row>
    <row r="33" spans="1:8">
      <c r="A33" s="57" t="s">
        <v>65</v>
      </c>
      <c r="B33" s="27"/>
      <c r="C33" s="27"/>
      <c r="D33" s="58" t="s">
        <v>66</v>
      </c>
      <c r="E33" s="27"/>
      <c r="F33" s="27"/>
    </row>
    <row r="34" spans="1:8">
      <c r="A34" s="57" t="s">
        <v>67</v>
      </c>
      <c r="B34" s="27">
        <v>74656.3</v>
      </c>
      <c r="C34" s="27">
        <v>55992.22</v>
      </c>
      <c r="D34" s="58" t="s">
        <v>68</v>
      </c>
      <c r="E34" s="27">
        <v>-1075486.76</v>
      </c>
      <c r="F34" s="27">
        <v>-1075486.76</v>
      </c>
    </row>
    <row r="35" spans="1:8">
      <c r="A35" s="57" t="s">
        <v>69</v>
      </c>
      <c r="B35" s="27"/>
      <c r="C35" s="27"/>
      <c r="D35" s="58" t="s">
        <v>70</v>
      </c>
      <c r="E35" s="27"/>
      <c r="F35" s="27"/>
    </row>
    <row r="36" spans="1:8" ht="15.6">
      <c r="A36" s="57" t="s">
        <v>71</v>
      </c>
      <c r="B36" s="27"/>
      <c r="C36" s="27"/>
      <c r="D36" s="58" t="s">
        <v>72</v>
      </c>
      <c r="E36" s="27">
        <v>-343578890.26999998</v>
      </c>
      <c r="F36" s="27">
        <v>-347738449.12</v>
      </c>
      <c r="G36" s="35">
        <f>F36-E36-利润表!C22</f>
        <v>4627657.76999998</v>
      </c>
      <c r="H36" s="65" t="s">
        <v>73</v>
      </c>
    </row>
    <row r="37" spans="1:8" s="51" customFormat="1" ht="31.2">
      <c r="A37" s="62" t="s">
        <v>74</v>
      </c>
      <c r="B37" s="31">
        <f>SUM(B19:B36)</f>
        <v>104406839.41</v>
      </c>
      <c r="C37" s="31">
        <f>SUM(C19:C36)</f>
        <v>104058184.69</v>
      </c>
      <c r="D37" s="63" t="s">
        <v>75</v>
      </c>
      <c r="E37" s="31">
        <f>SUM(E30:E36)</f>
        <v>-961077.02999997104</v>
      </c>
      <c r="F37" s="31">
        <f>SUM(F30:F36)</f>
        <v>-5120635.88</v>
      </c>
    </row>
    <row r="38" spans="1:8" s="51" customFormat="1" ht="31.2">
      <c r="A38" s="62" t="s">
        <v>76</v>
      </c>
      <c r="B38" s="31">
        <f>B17+B37</f>
        <v>175880098.25999999</v>
      </c>
      <c r="C38" s="31">
        <f>C17+C37</f>
        <v>191731154.30000001</v>
      </c>
      <c r="D38" s="63" t="s">
        <v>77</v>
      </c>
      <c r="E38" s="31">
        <f>E28+E37</f>
        <v>175880098.25999999</v>
      </c>
      <c r="F38" s="31">
        <f>F28+F37</f>
        <v>191731154.30000001</v>
      </c>
      <c r="G38" s="51">
        <f>C38-F38</f>
        <v>0</v>
      </c>
    </row>
    <row r="39" spans="1:8" ht="16.95" customHeight="1">
      <c r="A39" s="66"/>
      <c r="B39" s="67"/>
      <c r="C39" s="67"/>
      <c r="D39" s="68"/>
      <c r="E39" s="67"/>
      <c r="F39" s="67"/>
    </row>
    <row r="40" spans="1:8" ht="15" customHeight="1">
      <c r="A40" s="69"/>
      <c r="B40" s="70"/>
      <c r="C40" s="70"/>
      <c r="D40" s="71"/>
      <c r="E40" s="72"/>
      <c r="F40" s="72"/>
    </row>
    <row r="41" spans="1:8" ht="15" customHeight="1">
      <c r="A41" s="73"/>
      <c r="B41" s="74"/>
      <c r="C41" s="74"/>
      <c r="D41" s="75"/>
    </row>
    <row r="42" spans="1:8">
      <c r="D42" s="76"/>
    </row>
    <row r="43" spans="1:8">
      <c r="E43" s="77"/>
      <c r="F43" s="77"/>
    </row>
  </sheetData>
  <mergeCells count="2">
    <mergeCell ref="A1:F1"/>
    <mergeCell ref="A2:B2"/>
  </mergeCells>
  <phoneticPr fontId="29" type="noConversion"/>
  <pageMargins left="0" right="0" top="0.75138888888888899" bottom="0.75138888888888899" header="0.29861111111111099" footer="0.29861111111111099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33"/>
  <sheetViews>
    <sheetView zoomScale="90" zoomScaleNormal="90" workbookViewId="0">
      <pane xSplit="1" ySplit="3" topLeftCell="B4" activePane="bottomRight" state="frozen"/>
      <selection pane="topRight"/>
      <selection pane="bottomLeft"/>
      <selection pane="bottomRight" activeCell="F11" sqref="F11"/>
    </sheetView>
  </sheetViews>
  <sheetFormatPr defaultColWidth="9" defaultRowHeight="15"/>
  <cols>
    <col min="1" max="1" width="33.44140625" style="35" customWidth="1"/>
    <col min="2" max="2" width="18.77734375" style="35" customWidth="1"/>
    <col min="3" max="3" width="19.77734375" style="35" customWidth="1"/>
    <col min="4" max="6" width="11.88671875" style="35" customWidth="1"/>
    <col min="7" max="7" width="12.109375" style="35" customWidth="1"/>
    <col min="8" max="16384" width="9" style="35"/>
  </cols>
  <sheetData>
    <row r="1" spans="1:4" ht="49.05" customHeight="1">
      <c r="A1" s="36" t="s">
        <v>78</v>
      </c>
      <c r="B1" s="36"/>
      <c r="C1" s="37"/>
    </row>
    <row r="2" spans="1:4" s="34" customFormat="1" ht="15" customHeight="1">
      <c r="A2" s="38" t="s">
        <v>79</v>
      </c>
      <c r="B2" s="38" t="s">
        <v>80</v>
      </c>
      <c r="C2" s="39" t="s">
        <v>81</v>
      </c>
    </row>
    <row r="3" spans="1:4" ht="23.1" customHeight="1">
      <c r="A3" s="40" t="s">
        <v>82</v>
      </c>
      <c r="B3" s="78" t="s">
        <v>140</v>
      </c>
      <c r="C3" s="78" t="s">
        <v>141</v>
      </c>
    </row>
    <row r="4" spans="1:4" ht="23.1" customHeight="1">
      <c r="A4" s="41" t="s">
        <v>83</v>
      </c>
      <c r="B4" s="42">
        <v>0</v>
      </c>
      <c r="C4" s="42">
        <v>0</v>
      </c>
    </row>
    <row r="5" spans="1:4" ht="23.1" customHeight="1">
      <c r="A5" s="43" t="s">
        <v>84</v>
      </c>
      <c r="B5" s="42">
        <v>0</v>
      </c>
      <c r="C5" s="42">
        <v>0</v>
      </c>
    </row>
    <row r="6" spans="1:4" ht="23.1" customHeight="1">
      <c r="A6" s="43" t="s">
        <v>85</v>
      </c>
      <c r="B6" s="42">
        <v>128437.99</v>
      </c>
      <c r="C6" s="44">
        <v>126741.04</v>
      </c>
    </row>
    <row r="7" spans="1:4" ht="23.1" customHeight="1">
      <c r="A7" s="43" t="s">
        <v>86</v>
      </c>
      <c r="B7" s="42">
        <v>484063.33</v>
      </c>
      <c r="C7" s="44">
        <v>0</v>
      </c>
    </row>
    <row r="8" spans="1:4" ht="23.1" customHeight="1">
      <c r="A8" s="43" t="s">
        <v>87</v>
      </c>
      <c r="B8" s="42">
        <v>9190994.0299999993</v>
      </c>
      <c r="C8" s="44">
        <v>7046629.9699999997</v>
      </c>
    </row>
    <row r="9" spans="1:4" ht="23.1" customHeight="1">
      <c r="A9" s="43" t="s">
        <v>88</v>
      </c>
      <c r="B9" s="42">
        <v>5387384.5999999996</v>
      </c>
      <c r="C9" s="44">
        <v>190</v>
      </c>
      <c r="D9" s="45"/>
    </row>
    <row r="10" spans="1:4" ht="23.1" customHeight="1">
      <c r="A10" s="43" t="s">
        <v>89</v>
      </c>
      <c r="B10" s="42">
        <v>1761843.54</v>
      </c>
      <c r="C10" s="44">
        <v>1327997.54</v>
      </c>
    </row>
    <row r="11" spans="1:4" ht="23.1" customHeight="1">
      <c r="A11" s="43" t="s">
        <v>90</v>
      </c>
      <c r="B11" s="42">
        <v>46014.48</v>
      </c>
      <c r="C11" s="44">
        <v>148624.82999999999</v>
      </c>
    </row>
    <row r="12" spans="1:4" ht="23.1" customHeight="1">
      <c r="A12" s="43" t="s">
        <v>91</v>
      </c>
      <c r="B12" s="42">
        <v>0</v>
      </c>
      <c r="C12" s="44">
        <v>0</v>
      </c>
    </row>
    <row r="13" spans="1:4" ht="23.1" hidden="1" customHeight="1">
      <c r="A13" s="43" t="s">
        <v>92</v>
      </c>
      <c r="B13" s="42">
        <v>0</v>
      </c>
      <c r="C13" s="44">
        <v>0</v>
      </c>
    </row>
    <row r="14" spans="1:4" ht="23.1" hidden="1" customHeight="1">
      <c r="A14" s="43" t="s">
        <v>93</v>
      </c>
      <c r="B14" s="42">
        <v>0</v>
      </c>
      <c r="C14" s="44">
        <v>0</v>
      </c>
    </row>
    <row r="15" spans="1:4" ht="23.55" customHeight="1">
      <c r="A15" s="43" t="s">
        <v>94</v>
      </c>
      <c r="B15" s="42">
        <v>32746.94</v>
      </c>
      <c r="C15" s="44">
        <v>12966.76</v>
      </c>
    </row>
    <row r="16" spans="1:4" ht="23.1" customHeight="1">
      <c r="A16" s="41" t="s">
        <v>95</v>
      </c>
      <c r="B16" s="42">
        <f>B4-B5-B6-B7-B8-B9-B10-B11+B13+B15</f>
        <v>-16965991.030000001</v>
      </c>
      <c r="C16" s="44">
        <f>C4-C5-C6-C7-C8-C9-C10-C11+C13+C15</f>
        <v>-8637216.6199999992</v>
      </c>
      <c r="D16" s="46"/>
    </row>
    <row r="17" spans="1:3" ht="23.1" customHeight="1">
      <c r="A17" s="41" t="s">
        <v>96</v>
      </c>
      <c r="B17" s="42">
        <v>0</v>
      </c>
      <c r="C17" s="44">
        <v>0</v>
      </c>
    </row>
    <row r="18" spans="1:3" ht="23.1" customHeight="1">
      <c r="A18" s="41" t="s">
        <v>97</v>
      </c>
      <c r="B18" s="42">
        <v>60000</v>
      </c>
      <c r="C18" s="44">
        <v>150000</v>
      </c>
    </row>
    <row r="19" spans="1:3" ht="23.1" customHeight="1">
      <c r="A19" s="41" t="s">
        <v>98</v>
      </c>
      <c r="B19" s="42">
        <v>0</v>
      </c>
      <c r="C19" s="42">
        <v>0</v>
      </c>
    </row>
    <row r="20" spans="1:3" ht="23.1" customHeight="1">
      <c r="A20" s="41" t="s">
        <v>99</v>
      </c>
      <c r="B20" s="42">
        <f>B16+B17-B18</f>
        <v>-17025991.030000001</v>
      </c>
      <c r="C20" s="42">
        <f>C16+C17-C18</f>
        <v>-8787216.6199999992</v>
      </c>
    </row>
    <row r="21" spans="1:3" ht="23.1" customHeight="1">
      <c r="A21" s="41" t="s">
        <v>100</v>
      </c>
      <c r="B21" s="42">
        <v>0</v>
      </c>
      <c r="C21" s="42">
        <v>0</v>
      </c>
    </row>
    <row r="22" spans="1:3" ht="23.1" customHeight="1">
      <c r="A22" s="41" t="s">
        <v>101</v>
      </c>
      <c r="B22" s="42">
        <f>B20-B21</f>
        <v>-17025991.030000001</v>
      </c>
      <c r="C22" s="42">
        <f>C20-C21</f>
        <v>-8787216.6199999992</v>
      </c>
    </row>
    <row r="23" spans="1:3" ht="23.1" customHeight="1">
      <c r="A23" s="41" t="s">
        <v>102</v>
      </c>
      <c r="B23" s="42"/>
      <c r="C23" s="42"/>
    </row>
    <row r="24" spans="1:3" ht="23.1" customHeight="1">
      <c r="A24" s="41" t="s">
        <v>103</v>
      </c>
      <c r="B24" s="42"/>
      <c r="C24" s="47"/>
    </row>
    <row r="25" spans="1:3" ht="23.1" customHeight="1">
      <c r="A25" s="41" t="s">
        <v>104</v>
      </c>
      <c r="B25" s="42"/>
      <c r="C25" s="47"/>
    </row>
    <row r="26" spans="1:3" ht="23.1" customHeight="1">
      <c r="A26" s="48"/>
      <c r="B26" s="48"/>
      <c r="C26" s="49"/>
    </row>
    <row r="27" spans="1:3" ht="15" customHeight="1">
      <c r="A27" s="48"/>
      <c r="B27" s="48"/>
      <c r="C27" s="50"/>
    </row>
    <row r="33" spans="3:3">
      <c r="C33" s="49"/>
    </row>
  </sheetData>
  <phoneticPr fontId="29" type="noConversion"/>
  <pageMargins left="0.7" right="0.7" top="0.75" bottom="0.75" header="0.3" footer="0.3"/>
  <pageSetup paperSize="9" scale="61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F44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K13" sqref="K13"/>
    </sheetView>
  </sheetViews>
  <sheetFormatPr defaultColWidth="10.21875" defaultRowHeight="15.6"/>
  <cols>
    <col min="1" max="1" width="45.44140625" style="7" customWidth="1"/>
    <col min="2" max="2" width="21.21875" style="1" customWidth="1"/>
    <col min="3" max="3" width="15.6640625" style="1" customWidth="1"/>
    <col min="4" max="4" width="11.109375" style="1"/>
    <col min="5" max="5" width="11.5546875" style="1" customWidth="1"/>
    <col min="6" max="240" width="10.21875" style="1"/>
    <col min="241" max="16384" width="10.21875" style="8"/>
  </cols>
  <sheetData>
    <row r="1" spans="1:5" s="1" customFormat="1" ht="22.2">
      <c r="A1" s="9" t="s">
        <v>105</v>
      </c>
      <c r="B1" s="9"/>
      <c r="C1" s="9"/>
    </row>
    <row r="2" spans="1:5" s="2" customFormat="1" ht="13.2">
      <c r="C2" s="10"/>
    </row>
    <row r="3" spans="1:5" s="3" customFormat="1" ht="14.4">
      <c r="A3" s="11" t="str">
        <f>资产负债表!A2</f>
        <v>编制单位：丰华生物有限公司</v>
      </c>
      <c r="B3" s="12">
        <v>46022</v>
      </c>
      <c r="C3" s="13" t="s">
        <v>106</v>
      </c>
    </row>
    <row r="4" spans="1:5" s="4" customFormat="1" ht="19.5" customHeight="1">
      <c r="A4" s="14" t="s">
        <v>107</v>
      </c>
      <c r="B4" s="14" t="s">
        <v>142</v>
      </c>
      <c r="C4" s="79" t="s">
        <v>141</v>
      </c>
    </row>
    <row r="5" spans="1:5" s="5" customFormat="1" ht="19.5" customHeight="1">
      <c r="A5" s="15" t="s">
        <v>108</v>
      </c>
      <c r="B5" s="16"/>
      <c r="C5" s="17"/>
    </row>
    <row r="6" spans="1:5" s="5" customFormat="1" ht="19.5" customHeight="1">
      <c r="A6" s="18" t="s">
        <v>109</v>
      </c>
      <c r="B6" s="19"/>
      <c r="C6" s="20">
        <v>0</v>
      </c>
    </row>
    <row r="7" spans="1:5" s="5" customFormat="1" ht="19.5" customHeight="1">
      <c r="A7" s="18" t="s">
        <v>110</v>
      </c>
      <c r="B7" s="16"/>
      <c r="C7" s="21">
        <v>13744.77</v>
      </c>
    </row>
    <row r="8" spans="1:5" s="5" customFormat="1" ht="19.5" customHeight="1">
      <c r="A8" s="18" t="s">
        <v>111</v>
      </c>
      <c r="B8" s="22">
        <v>24412611.960000001</v>
      </c>
      <c r="C8" s="21">
        <v>3313340.24</v>
      </c>
      <c r="E8" s="23"/>
    </row>
    <row r="9" spans="1:5" s="6" customFormat="1" ht="19.5" customHeight="1">
      <c r="A9" s="15" t="s">
        <v>112</v>
      </c>
      <c r="B9" s="24">
        <f>SUM(B6:B8)</f>
        <v>24412611.960000001</v>
      </c>
      <c r="C9" s="20">
        <f>SUM(C6:C8)</f>
        <v>3327085.01</v>
      </c>
    </row>
    <row r="10" spans="1:5" s="5" customFormat="1" ht="19.5" customHeight="1">
      <c r="A10" s="18" t="s">
        <v>113</v>
      </c>
      <c r="B10" s="16">
        <v>5102500</v>
      </c>
      <c r="C10" s="21">
        <v>0</v>
      </c>
      <c r="E10" s="6"/>
    </row>
    <row r="11" spans="1:5" s="5" customFormat="1" ht="19.5" customHeight="1">
      <c r="A11" s="18" t="s">
        <v>114</v>
      </c>
      <c r="B11" s="19">
        <v>5186442.04</v>
      </c>
      <c r="C11" s="21">
        <v>1701758.22</v>
      </c>
      <c r="E11" s="23"/>
    </row>
    <row r="12" spans="1:5" s="5" customFormat="1" ht="19.5" customHeight="1">
      <c r="A12" s="18" t="s">
        <v>115</v>
      </c>
      <c r="B12" s="19">
        <v>179064.76</v>
      </c>
      <c r="C12" s="21">
        <v>128244.81</v>
      </c>
    </row>
    <row r="13" spans="1:5" s="5" customFormat="1" ht="19.5" customHeight="1">
      <c r="A13" s="18" t="s">
        <v>116</v>
      </c>
      <c r="B13" s="19">
        <v>38351645.100000001</v>
      </c>
      <c r="C13" s="21">
        <v>23294891.77</v>
      </c>
    </row>
    <row r="14" spans="1:5" s="6" customFormat="1" ht="19.5" customHeight="1">
      <c r="A14" s="15" t="s">
        <v>117</v>
      </c>
      <c r="B14" s="25">
        <f>SUM(B10:B13)</f>
        <v>48819651.899999999</v>
      </c>
      <c r="C14" s="20">
        <f>SUM(C10:C13)</f>
        <v>25124894.800000001</v>
      </c>
    </row>
    <row r="15" spans="1:5" s="6" customFormat="1" ht="19.5" customHeight="1">
      <c r="A15" s="15" t="s">
        <v>118</v>
      </c>
      <c r="B15" s="25">
        <f>B9-B14</f>
        <v>-24407039.940000001</v>
      </c>
      <c r="C15" s="26">
        <f>C9-C14</f>
        <v>-21797809.789999999</v>
      </c>
    </row>
    <row r="16" spans="1:5" s="5" customFormat="1" ht="19.5" customHeight="1">
      <c r="A16" s="18" t="s">
        <v>119</v>
      </c>
      <c r="B16" s="22"/>
      <c r="C16" s="20"/>
    </row>
    <row r="17" spans="1:3" s="5" customFormat="1" ht="19.5" customHeight="1">
      <c r="A17" s="18" t="s">
        <v>120</v>
      </c>
      <c r="B17" s="22"/>
      <c r="C17" s="20">
        <v>0</v>
      </c>
    </row>
    <row r="18" spans="1:3" s="5" customFormat="1" ht="19.5" customHeight="1">
      <c r="A18" s="18" t="s">
        <v>121</v>
      </c>
      <c r="B18" s="22"/>
      <c r="C18" s="20">
        <v>0</v>
      </c>
    </row>
    <row r="19" spans="1:3" s="5" customFormat="1" ht="19.5" customHeight="1">
      <c r="A19" s="18" t="s">
        <v>122</v>
      </c>
      <c r="B19" s="22"/>
      <c r="C19" s="20">
        <v>0</v>
      </c>
    </row>
    <row r="20" spans="1:3" s="5" customFormat="1" ht="19.5" customHeight="1">
      <c r="A20" s="18" t="s">
        <v>123</v>
      </c>
      <c r="B20" s="16"/>
      <c r="C20" s="20">
        <v>0</v>
      </c>
    </row>
    <row r="21" spans="1:3" s="5" customFormat="1" ht="19.5" customHeight="1">
      <c r="A21" s="15" t="s">
        <v>112</v>
      </c>
      <c r="B21" s="24">
        <f>SUM(B17:B20)</f>
        <v>0</v>
      </c>
      <c r="C21" s="20">
        <f>SUM(C17:C20)</f>
        <v>0</v>
      </c>
    </row>
    <row r="22" spans="1:3" s="5" customFormat="1" ht="19.5" customHeight="1">
      <c r="A22" s="18" t="s">
        <v>124</v>
      </c>
      <c r="B22" s="16">
        <v>46000</v>
      </c>
      <c r="C22" s="20">
        <v>0</v>
      </c>
    </row>
    <row r="23" spans="1:3" s="5" customFormat="1" ht="19.5" customHeight="1">
      <c r="A23" s="18" t="s">
        <v>125</v>
      </c>
      <c r="B23" s="16"/>
      <c r="C23" s="20">
        <v>0</v>
      </c>
    </row>
    <row r="24" spans="1:3" s="5" customFormat="1" ht="19.5" customHeight="1">
      <c r="A24" s="18" t="s">
        <v>126</v>
      </c>
      <c r="B24" s="22"/>
      <c r="C24" s="20">
        <v>0</v>
      </c>
    </row>
    <row r="25" spans="1:3" s="5" customFormat="1" ht="19.5" customHeight="1">
      <c r="A25" s="15" t="s">
        <v>117</v>
      </c>
      <c r="B25" s="25">
        <f>SUM(B22:B24)</f>
        <v>46000</v>
      </c>
      <c r="C25" s="20">
        <f>SUM(C22:C24)</f>
        <v>0</v>
      </c>
    </row>
    <row r="26" spans="1:3" s="6" customFormat="1" ht="19.5" customHeight="1">
      <c r="A26" s="15" t="s">
        <v>127</v>
      </c>
      <c r="B26" s="24">
        <f>B21-B25</f>
        <v>-46000</v>
      </c>
      <c r="C26" s="24">
        <f>C21-C25</f>
        <v>0</v>
      </c>
    </row>
    <row r="27" spans="1:3" s="5" customFormat="1" ht="19.5" customHeight="1">
      <c r="A27" s="18" t="s">
        <v>128</v>
      </c>
      <c r="B27" s="16"/>
      <c r="C27" s="20"/>
    </row>
    <row r="28" spans="1:3" s="5" customFormat="1" ht="19.5" customHeight="1">
      <c r="A28" s="18" t="s">
        <v>129</v>
      </c>
      <c r="B28" s="16"/>
      <c r="C28" s="20">
        <v>0</v>
      </c>
    </row>
    <row r="29" spans="1:3" s="5" customFormat="1" ht="19.5" customHeight="1">
      <c r="A29" s="18" t="s">
        <v>130</v>
      </c>
      <c r="B29" s="16">
        <v>25060000</v>
      </c>
      <c r="C29" s="21">
        <v>21792500</v>
      </c>
    </row>
    <row r="30" spans="1:3" s="5" customFormat="1" ht="19.5" customHeight="1">
      <c r="A30" s="18" t="s">
        <v>131</v>
      </c>
      <c r="B30" s="19"/>
      <c r="C30" s="20">
        <v>0</v>
      </c>
    </row>
    <row r="31" spans="1:3" s="5" customFormat="1" ht="19.5" customHeight="1">
      <c r="A31" s="15" t="s">
        <v>112</v>
      </c>
      <c r="B31" s="24">
        <f>SUM(B28:B30)</f>
        <v>25060000</v>
      </c>
      <c r="C31" s="20">
        <f>SUM(C28:C30)</f>
        <v>21792500</v>
      </c>
    </row>
    <row r="32" spans="1:3" s="5" customFormat="1" ht="19.5" customHeight="1">
      <c r="A32" s="18" t="s">
        <v>132</v>
      </c>
      <c r="B32" s="22"/>
      <c r="C32" s="20">
        <v>0</v>
      </c>
    </row>
    <row r="33" spans="1:4" s="5" customFormat="1" ht="19.5" customHeight="1">
      <c r="A33" s="18" t="s">
        <v>133</v>
      </c>
      <c r="B33" s="22"/>
      <c r="C33" s="20">
        <v>0</v>
      </c>
    </row>
    <row r="34" spans="1:4" s="5" customFormat="1" ht="19.5" customHeight="1">
      <c r="A34" s="18" t="s">
        <v>134</v>
      </c>
      <c r="B34" s="22"/>
      <c r="C34" s="20">
        <v>0</v>
      </c>
    </row>
    <row r="35" spans="1:4" s="5" customFormat="1" ht="19.5" customHeight="1">
      <c r="A35" s="15" t="s">
        <v>117</v>
      </c>
      <c r="B35" s="22"/>
      <c r="C35" s="20">
        <f>SUM(C32:C34)</f>
        <v>0</v>
      </c>
    </row>
    <row r="36" spans="1:4" s="6" customFormat="1" ht="19.5" customHeight="1">
      <c r="A36" s="15" t="s">
        <v>135</v>
      </c>
      <c r="B36" s="25">
        <f>B31-B35</f>
        <v>25060000</v>
      </c>
      <c r="C36" s="20">
        <v>21792500</v>
      </c>
    </row>
    <row r="37" spans="1:4" s="5" customFormat="1" ht="19.5" customHeight="1">
      <c r="A37" s="18" t="s">
        <v>136</v>
      </c>
      <c r="B37" s="27"/>
      <c r="C37" s="20"/>
    </row>
    <row r="38" spans="1:4" s="5" customFormat="1" ht="19.5" customHeight="1">
      <c r="A38" s="18" t="s">
        <v>137</v>
      </c>
      <c r="B38" s="27">
        <f>B15+B26+B36+B37</f>
        <v>606960.06000000203</v>
      </c>
      <c r="C38" s="28">
        <f>C15+C26+C36+C37</f>
        <v>-5309.7899999991096</v>
      </c>
    </row>
    <row r="39" spans="1:4" s="5" customFormat="1" ht="19.5" customHeight="1">
      <c r="A39" s="29" t="s">
        <v>138</v>
      </c>
      <c r="B39" s="27">
        <v>1139662.7</v>
      </c>
      <c r="C39" s="21">
        <f>B40</f>
        <v>1746622.76</v>
      </c>
    </row>
    <row r="40" spans="1:4" s="6" customFormat="1" ht="19.5" customHeight="1">
      <c r="A40" s="30" t="s">
        <v>139</v>
      </c>
      <c r="B40" s="31">
        <f>B38+B39</f>
        <v>1746622.76</v>
      </c>
      <c r="C40" s="31">
        <f>C38+C39</f>
        <v>1741312.97</v>
      </c>
      <c r="D40" s="32"/>
    </row>
    <row r="41" spans="1:4" s="1" customFormat="1" ht="17.100000000000001" customHeight="1">
      <c r="A41" s="7"/>
    </row>
    <row r="42" spans="1:4" s="1" customFormat="1" ht="17.100000000000001" customHeight="1">
      <c r="A42" s="7"/>
    </row>
    <row r="43" spans="1:4" s="1" customFormat="1" ht="17.100000000000001" customHeight="1">
      <c r="A43" s="7"/>
      <c r="B43" s="33"/>
    </row>
    <row r="44" spans="1:4" s="1" customFormat="1" ht="17.100000000000001" customHeight="1">
      <c r="A44" s="7"/>
    </row>
  </sheetData>
  <phoneticPr fontId="29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资产负债表</vt:lpstr>
      <vt:lpstr>利润表</vt:lpstr>
      <vt:lpstr>现金流量表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xin liu</cp:lastModifiedBy>
  <dcterms:created xsi:type="dcterms:W3CDTF">2021-02-05T05:45:00Z</dcterms:created>
  <dcterms:modified xsi:type="dcterms:W3CDTF">2026-03-16T05:26:40Z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9701E1DCF98942B196107ED530E2139C</vt:lpwstr>
  </property>
  <property fmtid="{D5CDD505-2E9C-101B-9397-08002B2CF9AE}" pid="4" name="commondata">
    <vt:lpwstr>eyJoZGlkIjoiYzYzNTYyYmQ3Y2IxYjJmMmQzMjMyYjJkY2EyNjRlMDUifQ==</vt:lpwstr>
  </property>
  <property fmtid="{D5CDD505-2E9C-101B-9397-08002B2CF9AE}" pid="5" name="CalculationRule">
    <vt:i4>0</vt:i4>
  </property>
</Properties>
</file>
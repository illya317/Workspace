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gener\Desktop\财务报表\25年财报\"/>
    </mc:Choice>
  </mc:AlternateContent>
  <xr:revisionPtr revIDLastSave="0" documentId="13_ncr:1_{197FBED6-3D3D-4151-B8A7-4FC423420C51}" xr6:coauthVersionLast="47" xr6:coauthVersionMax="47" xr10:uidLastSave="{00000000-0000-0000-0000-000000000000}"/>
  <bookViews>
    <workbookView xWindow="-108" yWindow="-108" windowWidth="23256" windowHeight="12456" tabRatio="601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C21" i="2"/>
  <c r="C17" i="2"/>
  <c r="C20" i="2" l="1"/>
  <c r="C18" i="2"/>
  <c r="C15" i="2"/>
  <c r="C14" i="2"/>
  <c r="C13" i="2"/>
  <c r="C12" i="2"/>
  <c r="C11" i="2"/>
  <c r="C6" i="2"/>
  <c r="C5" i="2"/>
  <c r="C4" i="2"/>
  <c r="F37" i="1"/>
  <c r="E37" i="1"/>
  <c r="C37" i="1"/>
  <c r="B37" i="1"/>
  <c r="C36" i="1"/>
  <c r="B36" i="1"/>
  <c r="F35" i="1"/>
  <c r="E35" i="1"/>
  <c r="F28" i="1"/>
  <c r="E28" i="1"/>
  <c r="F18" i="1"/>
  <c r="E18" i="1"/>
  <c r="C17" i="1"/>
  <c r="B17" i="1"/>
</calcChain>
</file>

<file path=xl/sharedStrings.xml><?xml version="1.0" encoding="utf-8"?>
<sst xmlns="http://schemas.openxmlformats.org/spreadsheetml/2006/main" count="150" uniqueCount="144">
  <si>
    <r>
      <rPr>
        <b/>
        <u/>
        <sz val="21"/>
        <rFont val="宋体"/>
        <charset val="134"/>
      </rPr>
      <t>资产负债表</t>
    </r>
  </si>
  <si>
    <t>单位：丰华悦通国际医药科技有限公司</t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</si>
  <si>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单位：元</t>
    </r>
  </si>
  <si>
    <r>
      <rPr>
        <b/>
        <sz val="12"/>
        <rFont val="宋体"/>
        <charset val="134"/>
      </rPr>
      <t>资</t>
    </r>
    <r>
      <rPr>
        <b/>
        <sz val="12"/>
        <rFont val="Arial"/>
        <family val="2"/>
      </rPr>
      <t xml:space="preserve">    </t>
    </r>
    <r>
      <rPr>
        <b/>
        <sz val="12"/>
        <rFont val="宋体"/>
        <charset val="134"/>
      </rPr>
      <t>产</t>
    </r>
  </si>
  <si>
    <t>年初余额</t>
  </si>
  <si>
    <t>期末余额</t>
  </si>
  <si>
    <r>
      <rPr>
        <b/>
        <sz val="12"/>
        <rFont val="宋体"/>
        <charset val="134"/>
      </rPr>
      <t>负债及所有者权益（或股东权益）</t>
    </r>
  </si>
  <si>
    <r>
      <rPr>
        <b/>
        <sz val="10"/>
        <rFont val="宋体"/>
        <charset val="134"/>
      </rPr>
      <t>流动资产：</t>
    </r>
  </si>
  <si>
    <r>
      <rPr>
        <b/>
        <sz val="10"/>
        <rFont val="宋体"/>
        <charset val="134"/>
      </rPr>
      <t>流动负债：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</si>
  <si>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货币资金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</si>
  <si>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短期借款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</si>
  <si>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交易性金融资产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</si>
  <si>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交易性金融负债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</si>
  <si>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应收票据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</si>
  <si>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应付票据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</si>
  <si>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应收账款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</si>
  <si>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应付账款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</si>
  <si>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预付款项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</si>
  <si>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预收款项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</si>
  <si>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应收利息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</si>
  <si>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应付职工薪酬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</si>
  <si>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应收股利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</si>
  <si>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应交税费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</si>
  <si>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其他应收款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</si>
  <si>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应付利息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</si>
  <si>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存货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</si>
  <si>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应付股利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</si>
  <si>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一年内到期的非流动资产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</si>
  <si>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其他应付款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</si>
  <si>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其他流动资产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</si>
  <si>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一年内到期的非流动负债</t>
    </r>
  </si>
  <si>
    <r>
      <rPr>
        <sz val="10"/>
        <rFont val="宋体"/>
        <charset val="134"/>
      </rPr>
      <t>流动资产合计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</si>
  <si>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其他流动负债</t>
    </r>
  </si>
  <si>
    <r>
      <rPr>
        <b/>
        <sz val="10"/>
        <rFont val="宋体"/>
        <charset val="134"/>
      </rPr>
      <t>非流动资产：</t>
    </r>
  </si>
  <si>
    <r>
      <rPr>
        <sz val="10"/>
        <rFont val="宋体"/>
        <charset val="134"/>
      </rPr>
      <t>流动负债合计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</si>
  <si>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可供出售金融资产</t>
    </r>
  </si>
  <si>
    <r>
      <rPr>
        <b/>
        <sz val="10"/>
        <rFont val="宋体"/>
        <charset val="134"/>
      </rPr>
      <t>非流动负债：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</si>
  <si>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持有至到期投资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</si>
  <si>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长期借款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</si>
  <si>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长期应收款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</si>
  <si>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应付债券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</si>
  <si>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长期股权投资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</si>
  <si>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长期应付款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</si>
  <si>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投资性房地产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</si>
  <si>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专项应付款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</si>
  <si>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固定资产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</si>
  <si>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预计负债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</si>
  <si>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在建工程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</si>
  <si>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递延所得税负债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</si>
  <si>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工程物资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</si>
  <si>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其他非流动负债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</si>
  <si>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固定资产清理</t>
    </r>
  </si>
  <si>
    <r>
      <rPr>
        <sz val="10"/>
        <rFont val="宋体"/>
        <charset val="134"/>
      </rPr>
      <t>非流动负债合计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</si>
  <si>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生产性生物资产</t>
    </r>
  </si>
  <si>
    <r>
      <rPr>
        <sz val="10"/>
        <rFont val="宋体"/>
        <charset val="134"/>
      </rPr>
      <t>负债合计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</si>
  <si>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油气资产</t>
    </r>
  </si>
  <si>
    <r>
      <rPr>
        <b/>
        <sz val="10"/>
        <rFont val="宋体"/>
        <charset val="134"/>
      </rPr>
      <t>所有者权益（或股东权益）：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</si>
  <si>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无形资产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</si>
  <si>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实收资本（或股本）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</si>
  <si>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开发支出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</si>
  <si>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资本公积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</si>
  <si>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商誉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</si>
  <si>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减：库存股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</si>
  <si>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长期待摊费用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</si>
  <si>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盈余公积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</si>
  <si>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递延所得税资产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</si>
  <si>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未分配利润</t>
    </r>
  </si>
  <si>
    <r>
      <rPr>
        <sz val="10"/>
        <rFont val="Arial"/>
        <family val="2"/>
      </rPr>
      <t xml:space="preserve">   </t>
    </r>
    <r>
      <rPr>
        <sz val="10"/>
        <rFont val="宋体"/>
        <charset val="134"/>
      </rPr>
      <t>其他非流动资产</t>
    </r>
  </si>
  <si>
    <r>
      <rPr>
        <sz val="10"/>
        <rFont val="Arial"/>
        <family val="2"/>
      </rPr>
      <t xml:space="preserve">  </t>
    </r>
    <r>
      <rPr>
        <sz val="10"/>
        <rFont val="宋体"/>
        <charset val="134"/>
      </rPr>
      <t>所有者权益（或股东权益）合计</t>
    </r>
  </si>
  <si>
    <r>
      <rPr>
        <sz val="10"/>
        <rFont val="宋体"/>
        <charset val="134"/>
      </rPr>
      <t>非流动资产合计</t>
    </r>
  </si>
  <si>
    <r>
      <rPr>
        <sz val="10"/>
        <rFont val="宋体"/>
        <charset val="134"/>
      </rPr>
      <t>　</t>
    </r>
  </si>
  <si>
    <r>
      <rPr>
        <b/>
        <sz val="10"/>
        <rFont val="宋体"/>
        <charset val="134"/>
      </rPr>
      <t>资产总计</t>
    </r>
  </si>
  <si>
    <r>
      <rPr>
        <b/>
        <sz val="10"/>
        <rFont val="宋体"/>
        <charset val="134"/>
      </rPr>
      <t>负债和所有者权益（或股东权益）总计</t>
    </r>
  </si>
  <si>
    <r>
      <rPr>
        <b/>
        <u/>
        <sz val="21"/>
        <rFont val="宋体"/>
        <charset val="134"/>
      </rPr>
      <t>利润表</t>
    </r>
  </si>
  <si>
    <r>
      <rPr>
        <sz val="10"/>
        <rFont val="宋体"/>
        <charset val="134"/>
      </rPr>
      <t>单位：丰华悦通国际医药科技有限公司</t>
    </r>
  </si>
  <si>
    <r>
      <t>2025</t>
    </r>
    <r>
      <rPr>
        <sz val="10"/>
        <rFont val="宋体"/>
        <charset val="134"/>
      </rPr>
      <t>年</t>
    </r>
  </si>
  <si>
    <r>
      <rPr>
        <b/>
        <sz val="12"/>
        <rFont val="宋体"/>
        <charset val="134"/>
      </rPr>
      <t>项</t>
    </r>
    <r>
      <rPr>
        <b/>
        <sz val="12"/>
        <rFont val="Arial"/>
        <family val="2"/>
      </rPr>
      <t xml:space="preserve">       </t>
    </r>
    <r>
      <rPr>
        <b/>
        <sz val="12"/>
        <rFont val="宋体"/>
        <charset val="134"/>
      </rPr>
      <t>目</t>
    </r>
  </si>
  <si>
    <t>2024年金额</t>
  </si>
  <si>
    <t>2025年金额</t>
  </si>
  <si>
    <r>
      <rPr>
        <sz val="10"/>
        <rFont val="宋体"/>
        <charset val="134"/>
      </rPr>
      <t>一、营业收入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</si>
  <si>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减：营业成本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</si>
  <si>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税金及附加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</si>
  <si>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销售费用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</si>
  <si>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管理费用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</si>
  <si>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研发费用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</si>
  <si>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财务费用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</si>
  <si>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资产减值损失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</si>
  <si>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信用减值损失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</si>
  <si>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加：公允价值变动收益（损失以</t>
    </r>
    <r>
      <rPr>
        <sz val="10"/>
        <rFont val="Arial"/>
        <family val="2"/>
      </rPr>
      <t>"-"</t>
    </r>
    <r>
      <rPr>
        <sz val="10"/>
        <rFont val="宋体"/>
        <charset val="134"/>
      </rPr>
      <t>填列）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</si>
  <si>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投资收益（损失以</t>
    </r>
    <r>
      <rPr>
        <sz val="10"/>
        <rFont val="Arial"/>
        <family val="2"/>
      </rPr>
      <t>"-"</t>
    </r>
    <r>
      <rPr>
        <sz val="10"/>
        <rFont val="宋体"/>
        <charset val="134"/>
      </rPr>
      <t>填列）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</si>
  <si>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其中：对联营企业和合营企业的投资收益</t>
    </r>
  </si>
  <si>
    <r>
      <rPr>
        <sz val="10"/>
        <rFont val="Arial"/>
        <family val="2"/>
      </rPr>
      <t xml:space="preserve">        </t>
    </r>
    <r>
      <rPr>
        <sz val="10"/>
        <rFont val="宋体"/>
        <charset val="134"/>
      </rPr>
      <t>其他收益</t>
    </r>
  </si>
  <si>
    <r>
      <rPr>
        <sz val="10"/>
        <rFont val="宋体"/>
        <charset val="134"/>
      </rPr>
      <t>二、营业利润（亏损以</t>
    </r>
    <r>
      <rPr>
        <sz val="10"/>
        <rFont val="Arial"/>
        <family val="2"/>
      </rPr>
      <t>"</t>
    </r>
    <r>
      <rPr>
        <sz val="10"/>
        <rFont val="宋体"/>
        <charset val="134"/>
      </rPr>
      <t>－</t>
    </r>
    <r>
      <rPr>
        <sz val="10"/>
        <rFont val="Arial"/>
        <family val="2"/>
      </rPr>
      <t>"</t>
    </r>
    <r>
      <rPr>
        <sz val="10"/>
        <rFont val="宋体"/>
        <charset val="134"/>
      </rPr>
      <t>号填列）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</si>
  <si>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加：营业外收入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</si>
  <si>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减：营业外支出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</si>
  <si>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其中：非流动资产处置损失</t>
    </r>
  </si>
  <si>
    <r>
      <rPr>
        <sz val="10"/>
        <rFont val="宋体"/>
        <charset val="134"/>
      </rPr>
      <t>三、利润总额（亏损总额以</t>
    </r>
    <r>
      <rPr>
        <sz val="10"/>
        <rFont val="Arial"/>
        <family val="2"/>
      </rPr>
      <t>"</t>
    </r>
    <r>
      <rPr>
        <sz val="10"/>
        <rFont val="宋体"/>
        <charset val="134"/>
      </rPr>
      <t>－</t>
    </r>
    <r>
      <rPr>
        <sz val="10"/>
        <rFont val="Arial"/>
        <family val="2"/>
      </rPr>
      <t>"</t>
    </r>
    <r>
      <rPr>
        <sz val="10"/>
        <rFont val="宋体"/>
        <charset val="134"/>
      </rPr>
      <t>号填列）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</si>
  <si>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减：所得税费用</t>
    </r>
  </si>
  <si>
    <r>
      <rPr>
        <sz val="10"/>
        <rFont val="宋体"/>
        <charset val="134"/>
      </rPr>
      <t>四、净利润（净亏损以</t>
    </r>
    <r>
      <rPr>
        <sz val="10"/>
        <rFont val="Arial"/>
        <family val="2"/>
      </rPr>
      <t>"</t>
    </r>
    <r>
      <rPr>
        <sz val="10"/>
        <rFont val="宋体"/>
        <charset val="134"/>
      </rPr>
      <t>－</t>
    </r>
    <r>
      <rPr>
        <sz val="10"/>
        <rFont val="Arial"/>
        <family val="2"/>
      </rPr>
      <t>"</t>
    </r>
    <r>
      <rPr>
        <sz val="10"/>
        <rFont val="宋体"/>
        <charset val="134"/>
      </rPr>
      <t>号填列）</t>
    </r>
  </si>
  <si>
    <r>
      <rPr>
        <sz val="10"/>
        <rFont val="宋体"/>
        <charset val="134"/>
      </rPr>
      <t>五、每股收益：</t>
    </r>
  </si>
  <si>
    <r>
      <rPr>
        <sz val="10"/>
        <rFont val="宋体"/>
        <charset val="134"/>
      </rPr>
      <t>（一）基本每股收益</t>
    </r>
  </si>
  <si>
    <r>
      <rPr>
        <sz val="10"/>
        <rFont val="宋体"/>
        <charset val="134"/>
      </rPr>
      <t>（二）稀释每股收益</t>
    </r>
  </si>
  <si>
    <r>
      <rPr>
        <b/>
        <u/>
        <sz val="21"/>
        <rFont val="宋体"/>
        <charset val="134"/>
      </rPr>
      <t>现金流量表</t>
    </r>
  </si>
  <si>
    <r>
      <rPr>
        <b/>
        <sz val="12"/>
        <rFont val="宋体"/>
        <charset val="134"/>
      </rPr>
      <t>项</t>
    </r>
    <r>
      <rPr>
        <b/>
        <sz val="12"/>
        <rFont val="Arial"/>
        <family val="2"/>
      </rPr>
      <t xml:space="preserve">  </t>
    </r>
    <r>
      <rPr>
        <b/>
        <sz val="12"/>
        <rFont val="宋体"/>
        <charset val="134"/>
      </rPr>
      <t>目</t>
    </r>
  </si>
  <si>
    <r>
      <t>2024</t>
    </r>
    <r>
      <rPr>
        <b/>
        <sz val="12"/>
        <rFont val="宋体"/>
        <charset val="134"/>
      </rPr>
      <t>年金额</t>
    </r>
  </si>
  <si>
    <r>
      <rPr>
        <b/>
        <sz val="10"/>
        <rFont val="宋体"/>
        <charset val="134"/>
      </rPr>
      <t>一、经营活动产生的现金流量：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</si>
  <si>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销售商品、提供劳务收到的现金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</si>
  <si>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收到的税费返还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</si>
  <si>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收到其他与经营活动有关的现金</t>
    </r>
  </si>
  <si>
    <r>
      <rPr>
        <b/>
        <sz val="10"/>
        <rFont val="Arial"/>
        <family val="2"/>
      </rPr>
      <t xml:space="preserve">         </t>
    </r>
    <r>
      <rPr>
        <b/>
        <sz val="10"/>
        <rFont val="宋体"/>
        <charset val="134"/>
      </rPr>
      <t>经营活动现金流入小计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</si>
  <si>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购买商品、接受劳务支付的现金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</si>
  <si>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支付给职工以及为职工支付的现金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</si>
  <si>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支付的各项税费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</si>
  <si>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支付其它与经营活动有关的现金</t>
    </r>
  </si>
  <si>
    <r>
      <rPr>
        <b/>
        <sz val="10"/>
        <rFont val="Arial"/>
        <family val="2"/>
      </rPr>
      <t xml:space="preserve">        </t>
    </r>
    <r>
      <rPr>
        <b/>
        <sz val="10"/>
        <rFont val="宋体"/>
        <charset val="134"/>
      </rPr>
      <t>经营活动现金流出小计</t>
    </r>
  </si>
  <si>
    <r>
      <rPr>
        <b/>
        <sz val="10"/>
        <rFont val="Arial"/>
        <family val="2"/>
      </rPr>
      <t xml:space="preserve">     </t>
    </r>
    <r>
      <rPr>
        <b/>
        <sz val="10"/>
        <rFont val="宋体"/>
        <charset val="134"/>
      </rPr>
      <t>经营活动产生的现金流量净额</t>
    </r>
  </si>
  <si>
    <r>
      <rPr>
        <b/>
        <sz val="10"/>
        <rFont val="宋体"/>
        <charset val="134"/>
      </rPr>
      <t>二、投资活动产生的现金流量：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</si>
  <si>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收回投资收到的现金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</si>
  <si>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取得投资收益收到的现金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</si>
  <si>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处置固定资产、无形资产和其他长期资产收回的现金净额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</si>
  <si>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处置子公司及其他营业单位收到的现金净额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</si>
  <si>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收到其他与投资活动有关的现金</t>
    </r>
  </si>
  <si>
    <r>
      <rPr>
        <b/>
        <sz val="10"/>
        <rFont val="Arial"/>
        <family val="2"/>
      </rPr>
      <t xml:space="preserve">        </t>
    </r>
    <r>
      <rPr>
        <b/>
        <sz val="10"/>
        <rFont val="宋体"/>
        <charset val="134"/>
      </rPr>
      <t>投资活动现金流入小计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</si>
  <si>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购建固定资产、无形资产和其他长期资产所支付的现金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</si>
  <si>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投资支付的现金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</si>
  <si>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取得子公司及其他营业单位支付的现金净额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</si>
  <si>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支付的其他与投资活动有关的现金</t>
    </r>
  </si>
  <si>
    <r>
      <rPr>
        <b/>
        <sz val="10"/>
        <rFont val="Arial"/>
        <family val="2"/>
      </rPr>
      <t xml:space="preserve">        </t>
    </r>
    <r>
      <rPr>
        <b/>
        <sz val="10"/>
        <rFont val="宋体"/>
        <charset val="134"/>
      </rPr>
      <t>投资活动现金流出小计</t>
    </r>
  </si>
  <si>
    <r>
      <rPr>
        <b/>
        <sz val="10"/>
        <rFont val="Arial"/>
        <family val="2"/>
      </rPr>
      <t xml:space="preserve">     </t>
    </r>
    <r>
      <rPr>
        <b/>
        <sz val="10"/>
        <rFont val="宋体"/>
        <charset val="134"/>
      </rPr>
      <t>投资活动产生的现金流量净额</t>
    </r>
  </si>
  <si>
    <r>
      <rPr>
        <b/>
        <sz val="10"/>
        <rFont val="宋体"/>
        <charset val="134"/>
      </rPr>
      <t>三、筹资活动产生的现金流量：</t>
    </r>
    <r>
      <rPr>
        <b/>
        <sz val="10"/>
        <rFont val="Arial"/>
        <family val="2"/>
      </rPr>
      <t xml:space="preserve"> 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</si>
  <si>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吸收投资收到的现金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</si>
  <si>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取得借款收到的现金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</si>
  <si>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收到其他与筹资活动有关的现金</t>
    </r>
  </si>
  <si>
    <r>
      <rPr>
        <b/>
        <sz val="10"/>
        <rFont val="Arial"/>
        <family val="2"/>
      </rPr>
      <t xml:space="preserve">        </t>
    </r>
    <r>
      <rPr>
        <b/>
        <sz val="10"/>
        <rFont val="宋体"/>
        <charset val="134"/>
      </rPr>
      <t>筹资活动现金流入小计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</si>
  <si>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偿还债务支付的现金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</si>
  <si>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分配股利、利润或偿付利息支付的现金</t>
    </r>
  </si>
  <si>
    <r>
      <rPr>
        <sz val="10"/>
        <rFont val="Arial"/>
        <family val="2"/>
      </rPr>
      <t xml:space="preserve">     </t>
    </r>
    <r>
      <rPr>
        <sz val="10"/>
        <rFont val="宋体"/>
        <charset val="134"/>
      </rPr>
      <t>支付其他与筹资活动有关的现金</t>
    </r>
  </si>
  <si>
    <r>
      <rPr>
        <b/>
        <sz val="10"/>
        <rFont val="Arial"/>
        <family val="2"/>
      </rPr>
      <t xml:space="preserve">        </t>
    </r>
    <r>
      <rPr>
        <b/>
        <sz val="10"/>
        <rFont val="宋体"/>
        <charset val="134"/>
      </rPr>
      <t>筹资活动现金流出小计</t>
    </r>
  </si>
  <si>
    <r>
      <rPr>
        <b/>
        <sz val="10"/>
        <rFont val="Arial"/>
        <family val="2"/>
      </rPr>
      <t xml:space="preserve">     </t>
    </r>
    <r>
      <rPr>
        <b/>
        <sz val="10"/>
        <rFont val="宋体"/>
        <charset val="134"/>
      </rPr>
      <t>筹资活动产生的现金流量净额</t>
    </r>
  </si>
  <si>
    <r>
      <rPr>
        <b/>
        <sz val="10"/>
        <rFont val="宋体"/>
        <charset val="134"/>
      </rPr>
      <t>四、汇率变动对现金及现金等价物的影响</t>
    </r>
  </si>
  <si>
    <r>
      <rPr>
        <b/>
        <sz val="10"/>
        <rFont val="宋体"/>
        <charset val="134"/>
      </rPr>
      <t>五、现金及现金等价物净增加额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</si>
  <si>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加：期初现金及现金等价物余额</t>
    </r>
  </si>
  <si>
    <r>
      <rPr>
        <b/>
        <sz val="10"/>
        <rFont val="宋体"/>
        <charset val="134"/>
      </rPr>
      <t>六、期末现金及现金等价物余额</t>
    </r>
  </si>
  <si>
    <r>
      <t>2025</t>
    </r>
    <r>
      <rPr>
        <b/>
        <sz val="12"/>
        <rFont val="宋体"/>
        <charset val="134"/>
      </rPr>
      <t>年金额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</si>
</sst>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  <numFmt numFmtId="179" formatCode="#,##0.00_ ;\-#,##0.00;;"/>
    <numFmt numFmtId="180" formatCode="##,###.00"/>
    <numFmt numFmtId="181" formatCode="0.00_ ;\-0.00;;"/>
    <numFmt numFmtId="182" formatCode="[$-F800]dddd\,\ mmmm\ dd\,\ yyyy"/>
    <numFmt numFmtId="183" formatCode="#,##0.00_ "/>
  </numFmts>
  <fonts count="15" x14ac:knownFonts="1">
    <font>
      <sz val="10"/>
      <name val="宋体"/>
      <charset val="134"/>
    </font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0"/>
      <name val="Arial"/>
      <family val="2"/>
    </font>
    <font>
      <b/>
      <u/>
      <sz val="2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宋体"/>
      <charset val="134"/>
    </font>
    <font>
      <sz val="9"/>
      <color rgb="FF000000"/>
      <name val="新宋体"/>
      <charset val="134"/>
    </font>
    <font>
      <b/>
      <sz val="9"/>
      <color rgb="FF000000"/>
      <name val="新宋体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b/>
      <u/>
      <sz val="21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0">
    <xf numFmtId="0" fontId="0" fillId="0" borderId="0"/>
    <xf numFmtId="43" fontId="7" fillId="0" borderId="0" applyFont="0" applyFill="0" applyBorder="0" applyAlignment="0" applyProtection="0">
      <alignment vertical="center"/>
    </xf>
    <xf numFmtId="0" fontId="8" fillId="0" borderId="1" applyNumberFormat="0" applyFill="0" applyProtection="0">
      <alignment horizontal="left"/>
    </xf>
    <xf numFmtId="0" fontId="9" fillId="3" borderId="1" applyNumberFormat="0" applyProtection="0">
      <alignment horizontal="left"/>
    </xf>
    <xf numFmtId="0" fontId="9" fillId="4" borderId="1" applyNumberFormat="0" applyProtection="0">
      <alignment horizontal="left"/>
    </xf>
    <xf numFmtId="0" fontId="8" fillId="0" borderId="1" applyNumberFormat="0" applyFill="0" applyProtection="0">
      <alignment horizontal="left"/>
    </xf>
    <xf numFmtId="0" fontId="9" fillId="3" borderId="1" applyNumberFormat="0" applyProtection="0">
      <alignment horizontal="left"/>
    </xf>
    <xf numFmtId="0" fontId="9" fillId="4" borderId="1" applyNumberFormat="0" applyProtection="0">
      <alignment horizontal="left"/>
    </xf>
    <xf numFmtId="0" fontId="8" fillId="0" borderId="1" applyNumberFormat="0" applyFill="0" applyProtection="0">
      <alignment horizontal="left"/>
    </xf>
    <xf numFmtId="0" fontId="9" fillId="3" borderId="1" applyNumberFormat="0" applyProtection="0">
      <alignment horizontal="left"/>
    </xf>
    <xf numFmtId="0" fontId="9" fillId="4" borderId="1" applyNumberFormat="0" applyProtection="0">
      <alignment horizontal="left"/>
    </xf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40" fontId="8" fillId="0" borderId="1" applyFill="0" applyProtection="0">
      <alignment horizontal="right"/>
    </xf>
    <xf numFmtId="40" fontId="9" fillId="3" borderId="1" applyProtection="0">
      <alignment horizontal="right"/>
    </xf>
    <xf numFmtId="40" fontId="9" fillId="4" borderId="1" applyProtection="0">
      <alignment horizontal="right"/>
    </xf>
    <xf numFmtId="0" fontId="1" fillId="0" borderId="0">
      <alignment vertical="center"/>
    </xf>
    <xf numFmtId="0" fontId="3" fillId="0" borderId="0"/>
    <xf numFmtId="0" fontId="10" fillId="0" borderId="0"/>
    <xf numFmtId="43" fontId="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43" fontId="3" fillId="0" borderId="0" xfId="1" applyFont="1" applyAlignment="1"/>
    <xf numFmtId="0" fontId="4" fillId="2" borderId="0" xfId="0" applyFont="1" applyFill="1" applyAlignment="1">
      <alignment horizontal="centerContinuous"/>
    </xf>
    <xf numFmtId="0" fontId="3" fillId="2" borderId="0" xfId="0" applyFont="1" applyFill="1"/>
    <xf numFmtId="43" fontId="3" fillId="2" borderId="0" xfId="1" applyFont="1" applyFill="1" applyAlignment="1">
      <alignment horizontal="right"/>
    </xf>
    <xf numFmtId="0" fontId="3" fillId="2" borderId="2" xfId="0" applyFont="1" applyFill="1" applyBorder="1"/>
    <xf numFmtId="57" fontId="3" fillId="2" borderId="2" xfId="0" applyNumberFormat="1" applyFont="1" applyFill="1" applyBorder="1" applyAlignment="1">
      <alignment horizontal="right"/>
    </xf>
    <xf numFmtId="43" fontId="3" fillId="2" borderId="2" xfId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6" fillId="2" borderId="1" xfId="0" applyFont="1" applyFill="1" applyBorder="1"/>
    <xf numFmtId="43" fontId="3" fillId="0" borderId="1" xfId="1" applyFont="1" applyBorder="1" applyAlignment="1">
      <alignment horizontal="right" vertical="center"/>
    </xf>
    <xf numFmtId="0" fontId="3" fillId="2" borderId="1" xfId="0" applyFont="1" applyFill="1" applyBorder="1"/>
    <xf numFmtId="43" fontId="6" fillId="0" borderId="1" xfId="1" applyFont="1" applyBorder="1" applyAlignment="1">
      <alignment horizontal="right" vertical="center"/>
    </xf>
    <xf numFmtId="0" fontId="4" fillId="0" borderId="0" xfId="0" applyFont="1" applyAlignment="1">
      <alignment horizontal="centerContinuous"/>
    </xf>
    <xf numFmtId="43" fontId="4" fillId="0" borderId="0" xfId="1" applyFont="1" applyAlignment="1">
      <alignment horizontal="centerContinuous"/>
    </xf>
    <xf numFmtId="0" fontId="3" fillId="0" borderId="2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79" fontId="3" fillId="2" borderId="1" xfId="0" applyNumberFormat="1" applyFont="1" applyFill="1" applyBorder="1" applyAlignment="1">
      <alignment horizontal="right" vertical="center"/>
    </xf>
    <xf numFmtId="180" fontId="3" fillId="0" borderId="1" xfId="0" applyNumberFormat="1" applyFont="1" applyBorder="1" applyAlignment="1">
      <alignment horizontal="right" vertical="center"/>
    </xf>
    <xf numFmtId="181" fontId="3" fillId="2" borderId="1" xfId="0" applyNumberFormat="1" applyFont="1" applyFill="1" applyBorder="1" applyAlignment="1">
      <alignment horizontal="right"/>
    </xf>
    <xf numFmtId="0" fontId="3" fillId="0" borderId="3" xfId="0" applyFont="1" applyBorder="1"/>
    <xf numFmtId="43" fontId="3" fillId="0" borderId="0" xfId="1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Continuous"/>
    </xf>
    <xf numFmtId="0" fontId="3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center"/>
    </xf>
    <xf numFmtId="182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7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183" fontId="3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180" fontId="6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79" fontId="3" fillId="2" borderId="4" xfId="0" applyNumberFormat="1" applyFont="1" applyFill="1" applyBorder="1" applyAlignment="1">
      <alignment horizontal="right" vertical="center"/>
    </xf>
    <xf numFmtId="180" fontId="6" fillId="0" borderId="1" xfId="35" applyNumberFormat="1" applyFont="1" applyBorder="1" applyAlignment="1">
      <alignment horizontal="right" vertical="center"/>
    </xf>
    <xf numFmtId="183" fontId="3" fillId="0" borderId="0" xfId="0" applyNumberFormat="1" applyFont="1"/>
    <xf numFmtId="0" fontId="7" fillId="2" borderId="2" xfId="0" applyFont="1" applyFill="1" applyBorder="1"/>
    <xf numFmtId="0" fontId="3" fillId="2" borderId="2" xfId="0" applyFont="1" applyFill="1" applyBorder="1" applyAlignment="1">
      <alignment horizontal="center"/>
    </xf>
  </cellXfs>
  <cellStyles count="40">
    <cellStyle name="accountCodeD" xfId="2" xr:uid="{00000000-0005-0000-0000-000031000000}"/>
    <cellStyle name="accountCodeS" xfId="3" xr:uid="{00000000-0005-0000-0000-000032000000}"/>
    <cellStyle name="accountCodeT" xfId="4" xr:uid="{00000000-0005-0000-0000-000033000000}"/>
    <cellStyle name="accountNameD" xfId="5" xr:uid="{00000000-0005-0000-0000-000034000000}"/>
    <cellStyle name="accountNameS" xfId="6" xr:uid="{00000000-0005-0000-0000-000035000000}"/>
    <cellStyle name="accountNameT" xfId="7" xr:uid="{00000000-0005-0000-0000-000036000000}"/>
    <cellStyle name="accountTypeNameD" xfId="8" xr:uid="{00000000-0005-0000-0000-000037000000}"/>
    <cellStyle name="accountTypeNameS" xfId="9" xr:uid="{00000000-0005-0000-0000-000038000000}"/>
    <cellStyle name="accountTypeNameT" xfId="10" xr:uid="{00000000-0005-0000-0000-000039000000}"/>
    <cellStyle name="amountCrD" xfId="11" xr:uid="{00000000-0005-0000-0000-00003A000000}"/>
    <cellStyle name="amountCrS" xfId="12" xr:uid="{00000000-0005-0000-0000-00003B000000}"/>
    <cellStyle name="amountCrT" xfId="13" xr:uid="{00000000-0005-0000-0000-00003C000000}"/>
    <cellStyle name="amountDrD" xfId="14" xr:uid="{00000000-0005-0000-0000-00003D000000}"/>
    <cellStyle name="amountDrS" xfId="15" xr:uid="{00000000-0005-0000-0000-00003E000000}"/>
    <cellStyle name="amountDrT" xfId="16" xr:uid="{00000000-0005-0000-0000-00003F000000}"/>
    <cellStyle name="Comma" xfId="17" xr:uid="{00000000-0005-0000-0000-000040000000}"/>
    <cellStyle name="Comma [0]" xfId="18" xr:uid="{00000000-0005-0000-0000-000041000000}"/>
    <cellStyle name="Currency" xfId="19" xr:uid="{00000000-0005-0000-0000-000042000000}"/>
    <cellStyle name="Currency [0]" xfId="20" xr:uid="{00000000-0005-0000-0000-000043000000}"/>
    <cellStyle name="Normal" xfId="21" xr:uid="{00000000-0005-0000-0000-000044000000}"/>
    <cellStyle name="Percent" xfId="22" xr:uid="{00000000-0005-0000-0000-000045000000}"/>
    <cellStyle name="periodBeginBalanceAmountCrD" xfId="23" xr:uid="{00000000-0005-0000-0000-000046000000}"/>
    <cellStyle name="periodBeginBalanceAmountCrS" xfId="24" xr:uid="{00000000-0005-0000-0000-000047000000}"/>
    <cellStyle name="periodBeginBalanceAmountCrT" xfId="25" xr:uid="{00000000-0005-0000-0000-000048000000}"/>
    <cellStyle name="periodBeginBalanceAmountDrD" xfId="26" xr:uid="{00000000-0005-0000-0000-000049000000}"/>
    <cellStyle name="periodBeginBalanceAmountDrS" xfId="27" xr:uid="{00000000-0005-0000-0000-00004A000000}"/>
    <cellStyle name="periodBeginBalanceAmountDrT" xfId="28" xr:uid="{00000000-0005-0000-0000-00004B000000}"/>
    <cellStyle name="periodEndBalanceAmountCrD" xfId="29" xr:uid="{00000000-0005-0000-0000-00004C000000}"/>
    <cellStyle name="periodEndBalanceAmountCrS" xfId="30" xr:uid="{00000000-0005-0000-0000-00004D000000}"/>
    <cellStyle name="periodEndBalanceAmountCrT" xfId="31" xr:uid="{00000000-0005-0000-0000-00004E000000}"/>
    <cellStyle name="periodEndBalanceAmountDrD" xfId="32" xr:uid="{00000000-0005-0000-0000-00004F000000}"/>
    <cellStyle name="periodEndBalanceAmountDrS" xfId="33" xr:uid="{00000000-0005-0000-0000-000050000000}"/>
    <cellStyle name="periodEndBalanceAmountDrT" xfId="34" xr:uid="{00000000-0005-0000-0000-000051000000}"/>
    <cellStyle name="常规" xfId="0" builtinId="0"/>
    <cellStyle name="常规 2" xfId="35" xr:uid="{00000000-0005-0000-0000-000052000000}"/>
    <cellStyle name="常规 2 2" xfId="36" xr:uid="{00000000-0005-0000-0000-000053000000}"/>
    <cellStyle name="常规 3" xfId="37" xr:uid="{00000000-0005-0000-0000-000054000000}"/>
    <cellStyle name="千位分隔" xfId="1" builtinId="3"/>
    <cellStyle name="千位分隔 2" xfId="38" xr:uid="{00000000-0005-0000-0000-000055000000}"/>
    <cellStyle name="千位分隔 3" xfId="39" xr:uid="{00000000-0005-0000-0000-00005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VN46"/>
  <sheetViews>
    <sheetView workbookViewId="0">
      <pane xSplit="1" ySplit="4" topLeftCell="B5" activePane="bottomRight" state="frozen"/>
      <selection pane="topRight"/>
      <selection pane="bottomLeft"/>
      <selection pane="bottomRight" activeCell="J35" sqref="J35"/>
    </sheetView>
  </sheetViews>
  <sheetFormatPr defaultColWidth="9" defaultRowHeight="14.25" customHeight="1" x14ac:dyDescent="0.25"/>
  <cols>
    <col min="1" max="1" width="26.44140625" style="1" customWidth="1"/>
    <col min="2" max="2" width="14.5546875" style="1" customWidth="1"/>
    <col min="3" max="3" width="13.6640625" style="1" customWidth="1"/>
    <col min="4" max="4" width="28.33203125" style="1" customWidth="1"/>
    <col min="5" max="5" width="16.44140625" style="1" customWidth="1"/>
    <col min="6" max="6" width="15.6640625" style="1" customWidth="1"/>
    <col min="7" max="8" width="14.77734375" style="1" customWidth="1"/>
    <col min="9" max="234" width="8.88671875" style="1"/>
    <col min="235" max="235" width="25.109375" style="1" customWidth="1"/>
    <col min="236" max="238" width="15.88671875" style="1" customWidth="1"/>
    <col min="239" max="248" width="9" style="1" hidden="1" customWidth="1"/>
    <col min="249" max="249" width="36.6640625" style="1" customWidth="1"/>
    <col min="250" max="250" width="18.44140625" style="1" customWidth="1"/>
    <col min="251" max="252" width="16.44140625" style="1" customWidth="1"/>
    <col min="253" max="262" width="9" style="1" hidden="1" customWidth="1"/>
    <col min="263" max="490" width="8.88671875" style="1"/>
    <col min="491" max="491" width="25.109375" style="1" customWidth="1"/>
    <col min="492" max="494" width="15.88671875" style="1" customWidth="1"/>
    <col min="495" max="504" width="9" style="1" hidden="1" customWidth="1"/>
    <col min="505" max="505" width="36.6640625" style="1" customWidth="1"/>
    <col min="506" max="506" width="18.44140625" style="1" customWidth="1"/>
    <col min="507" max="508" width="16.44140625" style="1" customWidth="1"/>
    <col min="509" max="518" width="9" style="1" hidden="1" customWidth="1"/>
    <col min="519" max="746" width="8.88671875" style="1"/>
    <col min="747" max="747" width="25.109375" style="1" customWidth="1"/>
    <col min="748" max="750" width="15.88671875" style="1" customWidth="1"/>
    <col min="751" max="760" width="9" style="1" hidden="1" customWidth="1"/>
    <col min="761" max="761" width="36.6640625" style="1" customWidth="1"/>
    <col min="762" max="762" width="18.44140625" style="1" customWidth="1"/>
    <col min="763" max="764" width="16.44140625" style="1" customWidth="1"/>
    <col min="765" max="774" width="9" style="1" hidden="1" customWidth="1"/>
    <col min="775" max="1002" width="8.88671875" style="1"/>
    <col min="1003" max="1003" width="25.109375" style="1" customWidth="1"/>
    <col min="1004" max="1006" width="15.88671875" style="1" customWidth="1"/>
    <col min="1007" max="1016" width="9" style="1" hidden="1" customWidth="1"/>
    <col min="1017" max="1017" width="36.6640625" style="1" customWidth="1"/>
    <col min="1018" max="1018" width="18.44140625" style="1" customWidth="1"/>
    <col min="1019" max="1020" width="16.44140625" style="1" customWidth="1"/>
    <col min="1021" max="1030" width="9" style="1" hidden="1" customWidth="1"/>
    <col min="1031" max="1258" width="8.88671875" style="1"/>
    <col min="1259" max="1259" width="25.109375" style="1" customWidth="1"/>
    <col min="1260" max="1262" width="15.88671875" style="1" customWidth="1"/>
    <col min="1263" max="1272" width="9" style="1" hidden="1" customWidth="1"/>
    <col min="1273" max="1273" width="36.6640625" style="1" customWidth="1"/>
    <col min="1274" max="1274" width="18.44140625" style="1" customWidth="1"/>
    <col min="1275" max="1276" width="16.44140625" style="1" customWidth="1"/>
    <col min="1277" max="1286" width="9" style="1" hidden="1" customWidth="1"/>
    <col min="1287" max="1514" width="8.88671875" style="1"/>
    <col min="1515" max="1515" width="25.109375" style="1" customWidth="1"/>
    <col min="1516" max="1518" width="15.88671875" style="1" customWidth="1"/>
    <col min="1519" max="1528" width="9" style="1" hidden="1" customWidth="1"/>
    <col min="1529" max="1529" width="36.6640625" style="1" customWidth="1"/>
    <col min="1530" max="1530" width="18.44140625" style="1" customWidth="1"/>
    <col min="1531" max="1532" width="16.44140625" style="1" customWidth="1"/>
    <col min="1533" max="1542" width="9" style="1" hidden="1" customWidth="1"/>
    <col min="1543" max="1770" width="8.88671875" style="1"/>
    <col min="1771" max="1771" width="25.109375" style="1" customWidth="1"/>
    <col min="1772" max="1774" width="15.88671875" style="1" customWidth="1"/>
    <col min="1775" max="1784" width="9" style="1" hidden="1" customWidth="1"/>
    <col min="1785" max="1785" width="36.6640625" style="1" customWidth="1"/>
    <col min="1786" max="1786" width="18.44140625" style="1" customWidth="1"/>
    <col min="1787" max="1788" width="16.44140625" style="1" customWidth="1"/>
    <col min="1789" max="1798" width="9" style="1" hidden="1" customWidth="1"/>
    <col min="1799" max="2026" width="8.88671875" style="1"/>
    <col min="2027" max="2027" width="25.109375" style="1" customWidth="1"/>
    <col min="2028" max="2030" width="15.88671875" style="1" customWidth="1"/>
    <col min="2031" max="2040" width="9" style="1" hidden="1" customWidth="1"/>
    <col min="2041" max="2041" width="36.6640625" style="1" customWidth="1"/>
    <col min="2042" max="2042" width="18.44140625" style="1" customWidth="1"/>
    <col min="2043" max="2044" width="16.44140625" style="1" customWidth="1"/>
    <col min="2045" max="2054" width="9" style="1" hidden="1" customWidth="1"/>
    <col min="2055" max="2282" width="8.88671875" style="1"/>
    <col min="2283" max="2283" width="25.109375" style="1" customWidth="1"/>
    <col min="2284" max="2286" width="15.88671875" style="1" customWidth="1"/>
    <col min="2287" max="2296" width="9" style="1" hidden="1" customWidth="1"/>
    <col min="2297" max="2297" width="36.6640625" style="1" customWidth="1"/>
    <col min="2298" max="2298" width="18.44140625" style="1" customWidth="1"/>
    <col min="2299" max="2300" width="16.44140625" style="1" customWidth="1"/>
    <col min="2301" max="2310" width="9" style="1" hidden="1" customWidth="1"/>
    <col min="2311" max="2538" width="8.88671875" style="1"/>
    <col min="2539" max="2539" width="25.109375" style="1" customWidth="1"/>
    <col min="2540" max="2542" width="15.88671875" style="1" customWidth="1"/>
    <col min="2543" max="2552" width="9" style="1" hidden="1" customWidth="1"/>
    <col min="2553" max="2553" width="36.6640625" style="1" customWidth="1"/>
    <col min="2554" max="2554" width="18.44140625" style="1" customWidth="1"/>
    <col min="2555" max="2556" width="16.44140625" style="1" customWidth="1"/>
    <col min="2557" max="2566" width="9" style="1" hidden="1" customWidth="1"/>
    <col min="2567" max="2794" width="8.88671875" style="1"/>
    <col min="2795" max="2795" width="25.109375" style="1" customWidth="1"/>
    <col min="2796" max="2798" width="15.88671875" style="1" customWidth="1"/>
    <col min="2799" max="2808" width="9" style="1" hidden="1" customWidth="1"/>
    <col min="2809" max="2809" width="36.6640625" style="1" customWidth="1"/>
    <col min="2810" max="2810" width="18.44140625" style="1" customWidth="1"/>
    <col min="2811" max="2812" width="16.44140625" style="1" customWidth="1"/>
    <col min="2813" max="2822" width="9" style="1" hidden="1" customWidth="1"/>
    <col min="2823" max="3050" width="8.88671875" style="1"/>
    <col min="3051" max="3051" width="25.109375" style="1" customWidth="1"/>
    <col min="3052" max="3054" width="15.88671875" style="1" customWidth="1"/>
    <col min="3055" max="3064" width="9" style="1" hidden="1" customWidth="1"/>
    <col min="3065" max="3065" width="36.6640625" style="1" customWidth="1"/>
    <col min="3066" max="3066" width="18.44140625" style="1" customWidth="1"/>
    <col min="3067" max="3068" width="16.44140625" style="1" customWidth="1"/>
    <col min="3069" max="3078" width="9" style="1" hidden="1" customWidth="1"/>
    <col min="3079" max="3306" width="8.88671875" style="1"/>
    <col min="3307" max="3307" width="25.109375" style="1" customWidth="1"/>
    <col min="3308" max="3310" width="15.88671875" style="1" customWidth="1"/>
    <col min="3311" max="3320" width="9" style="1" hidden="1" customWidth="1"/>
    <col min="3321" max="3321" width="36.6640625" style="1" customWidth="1"/>
    <col min="3322" max="3322" width="18.44140625" style="1" customWidth="1"/>
    <col min="3323" max="3324" width="16.44140625" style="1" customWidth="1"/>
    <col min="3325" max="3334" width="9" style="1" hidden="1" customWidth="1"/>
    <col min="3335" max="3562" width="8.88671875" style="1"/>
    <col min="3563" max="3563" width="25.109375" style="1" customWidth="1"/>
    <col min="3564" max="3566" width="15.88671875" style="1" customWidth="1"/>
    <col min="3567" max="3576" width="9" style="1" hidden="1" customWidth="1"/>
    <col min="3577" max="3577" width="36.6640625" style="1" customWidth="1"/>
    <col min="3578" max="3578" width="18.44140625" style="1" customWidth="1"/>
    <col min="3579" max="3580" width="16.44140625" style="1" customWidth="1"/>
    <col min="3581" max="3590" width="9" style="1" hidden="1" customWidth="1"/>
    <col min="3591" max="3818" width="8.88671875" style="1"/>
    <col min="3819" max="3819" width="25.109375" style="1" customWidth="1"/>
    <col min="3820" max="3822" width="15.88671875" style="1" customWidth="1"/>
    <col min="3823" max="3832" width="9" style="1" hidden="1" customWidth="1"/>
    <col min="3833" max="3833" width="36.6640625" style="1" customWidth="1"/>
    <col min="3834" max="3834" width="18.44140625" style="1" customWidth="1"/>
    <col min="3835" max="3836" width="16.44140625" style="1" customWidth="1"/>
    <col min="3837" max="3846" width="9" style="1" hidden="1" customWidth="1"/>
    <col min="3847" max="4074" width="8.88671875" style="1"/>
    <col min="4075" max="4075" width="25.109375" style="1" customWidth="1"/>
    <col min="4076" max="4078" width="15.88671875" style="1" customWidth="1"/>
    <col min="4079" max="4088" width="9" style="1" hidden="1" customWidth="1"/>
    <col min="4089" max="4089" width="36.6640625" style="1" customWidth="1"/>
    <col min="4090" max="4090" width="18.44140625" style="1" customWidth="1"/>
    <col min="4091" max="4092" width="16.44140625" style="1" customWidth="1"/>
    <col min="4093" max="4102" width="9" style="1" hidden="1" customWidth="1"/>
    <col min="4103" max="4330" width="8.88671875" style="1"/>
    <col min="4331" max="4331" width="25.109375" style="1" customWidth="1"/>
    <col min="4332" max="4334" width="15.88671875" style="1" customWidth="1"/>
    <col min="4335" max="4344" width="9" style="1" hidden="1" customWidth="1"/>
    <col min="4345" max="4345" width="36.6640625" style="1" customWidth="1"/>
    <col min="4346" max="4346" width="18.44140625" style="1" customWidth="1"/>
    <col min="4347" max="4348" width="16.44140625" style="1" customWidth="1"/>
    <col min="4349" max="4358" width="9" style="1" hidden="1" customWidth="1"/>
    <col min="4359" max="4586" width="8.88671875" style="1"/>
    <col min="4587" max="4587" width="25.109375" style="1" customWidth="1"/>
    <col min="4588" max="4590" width="15.88671875" style="1" customWidth="1"/>
    <col min="4591" max="4600" width="9" style="1" hidden="1" customWidth="1"/>
    <col min="4601" max="4601" width="36.6640625" style="1" customWidth="1"/>
    <col min="4602" max="4602" width="18.44140625" style="1" customWidth="1"/>
    <col min="4603" max="4604" width="16.44140625" style="1" customWidth="1"/>
    <col min="4605" max="4614" width="9" style="1" hidden="1" customWidth="1"/>
    <col min="4615" max="4842" width="8.88671875" style="1"/>
    <col min="4843" max="4843" width="25.109375" style="1" customWidth="1"/>
    <col min="4844" max="4846" width="15.88671875" style="1" customWidth="1"/>
    <col min="4847" max="4856" width="9" style="1" hidden="1" customWidth="1"/>
    <col min="4857" max="4857" width="36.6640625" style="1" customWidth="1"/>
    <col min="4858" max="4858" width="18.44140625" style="1" customWidth="1"/>
    <col min="4859" max="4860" width="16.44140625" style="1" customWidth="1"/>
    <col min="4861" max="4870" width="9" style="1" hidden="1" customWidth="1"/>
    <col min="4871" max="5098" width="8.88671875" style="1"/>
    <col min="5099" max="5099" width="25.109375" style="1" customWidth="1"/>
    <col min="5100" max="5102" width="15.88671875" style="1" customWidth="1"/>
    <col min="5103" max="5112" width="9" style="1" hidden="1" customWidth="1"/>
    <col min="5113" max="5113" width="36.6640625" style="1" customWidth="1"/>
    <col min="5114" max="5114" width="18.44140625" style="1" customWidth="1"/>
    <col min="5115" max="5116" width="16.44140625" style="1" customWidth="1"/>
    <col min="5117" max="5126" width="9" style="1" hidden="1" customWidth="1"/>
    <col min="5127" max="5354" width="8.88671875" style="1"/>
    <col min="5355" max="5355" width="25.109375" style="1" customWidth="1"/>
    <col min="5356" max="5358" width="15.88671875" style="1" customWidth="1"/>
    <col min="5359" max="5368" width="9" style="1" hidden="1" customWidth="1"/>
    <col min="5369" max="5369" width="36.6640625" style="1" customWidth="1"/>
    <col min="5370" max="5370" width="18.44140625" style="1" customWidth="1"/>
    <col min="5371" max="5372" width="16.44140625" style="1" customWidth="1"/>
    <col min="5373" max="5382" width="9" style="1" hidden="1" customWidth="1"/>
    <col min="5383" max="5610" width="8.88671875" style="1"/>
    <col min="5611" max="5611" width="25.109375" style="1" customWidth="1"/>
    <col min="5612" max="5614" width="15.88671875" style="1" customWidth="1"/>
    <col min="5615" max="5624" width="9" style="1" hidden="1" customWidth="1"/>
    <col min="5625" max="5625" width="36.6640625" style="1" customWidth="1"/>
    <col min="5626" max="5626" width="18.44140625" style="1" customWidth="1"/>
    <col min="5627" max="5628" width="16.44140625" style="1" customWidth="1"/>
    <col min="5629" max="5638" width="9" style="1" hidden="1" customWidth="1"/>
    <col min="5639" max="5866" width="8.88671875" style="1"/>
    <col min="5867" max="5867" width="25.109375" style="1" customWidth="1"/>
    <col min="5868" max="5870" width="15.88671875" style="1" customWidth="1"/>
    <col min="5871" max="5880" width="9" style="1" hidden="1" customWidth="1"/>
    <col min="5881" max="5881" width="36.6640625" style="1" customWidth="1"/>
    <col min="5882" max="5882" width="18.44140625" style="1" customWidth="1"/>
    <col min="5883" max="5884" width="16.44140625" style="1" customWidth="1"/>
    <col min="5885" max="5894" width="9" style="1" hidden="1" customWidth="1"/>
    <col min="5895" max="6122" width="8.88671875" style="1"/>
    <col min="6123" max="6123" width="25.109375" style="1" customWidth="1"/>
    <col min="6124" max="6126" width="15.88671875" style="1" customWidth="1"/>
    <col min="6127" max="6136" width="9" style="1" hidden="1" customWidth="1"/>
    <col min="6137" max="6137" width="36.6640625" style="1" customWidth="1"/>
    <col min="6138" max="6138" width="18.44140625" style="1" customWidth="1"/>
    <col min="6139" max="6140" width="16.44140625" style="1" customWidth="1"/>
    <col min="6141" max="6150" width="9" style="1" hidden="1" customWidth="1"/>
    <col min="6151" max="6378" width="8.88671875" style="1"/>
    <col min="6379" max="6379" width="25.109375" style="1" customWidth="1"/>
    <col min="6380" max="6382" width="15.88671875" style="1" customWidth="1"/>
    <col min="6383" max="6392" width="9" style="1" hidden="1" customWidth="1"/>
    <col min="6393" max="6393" width="36.6640625" style="1" customWidth="1"/>
    <col min="6394" max="6394" width="18.44140625" style="1" customWidth="1"/>
    <col min="6395" max="6396" width="16.44140625" style="1" customWidth="1"/>
    <col min="6397" max="6406" width="9" style="1" hidden="1" customWidth="1"/>
    <col min="6407" max="6634" width="8.88671875" style="1"/>
    <col min="6635" max="6635" width="25.109375" style="1" customWidth="1"/>
    <col min="6636" max="6638" width="15.88671875" style="1" customWidth="1"/>
    <col min="6639" max="6648" width="9" style="1" hidden="1" customWidth="1"/>
    <col min="6649" max="6649" width="36.6640625" style="1" customWidth="1"/>
    <col min="6650" max="6650" width="18.44140625" style="1" customWidth="1"/>
    <col min="6651" max="6652" width="16.44140625" style="1" customWidth="1"/>
    <col min="6653" max="6662" width="9" style="1" hidden="1" customWidth="1"/>
    <col min="6663" max="6890" width="8.88671875" style="1"/>
    <col min="6891" max="6891" width="25.109375" style="1" customWidth="1"/>
    <col min="6892" max="6894" width="15.88671875" style="1" customWidth="1"/>
    <col min="6895" max="6904" width="9" style="1" hidden="1" customWidth="1"/>
    <col min="6905" max="6905" width="36.6640625" style="1" customWidth="1"/>
    <col min="6906" max="6906" width="18.44140625" style="1" customWidth="1"/>
    <col min="6907" max="6908" width="16.44140625" style="1" customWidth="1"/>
    <col min="6909" max="6918" width="9" style="1" hidden="1" customWidth="1"/>
    <col min="6919" max="7146" width="8.88671875" style="1"/>
    <col min="7147" max="7147" width="25.109375" style="1" customWidth="1"/>
    <col min="7148" max="7150" width="15.88671875" style="1" customWidth="1"/>
    <col min="7151" max="7160" width="9" style="1" hidden="1" customWidth="1"/>
    <col min="7161" max="7161" width="36.6640625" style="1" customWidth="1"/>
    <col min="7162" max="7162" width="18.44140625" style="1" customWidth="1"/>
    <col min="7163" max="7164" width="16.44140625" style="1" customWidth="1"/>
    <col min="7165" max="7174" width="9" style="1" hidden="1" customWidth="1"/>
    <col min="7175" max="7402" width="8.88671875" style="1"/>
    <col min="7403" max="7403" width="25.109375" style="1" customWidth="1"/>
    <col min="7404" max="7406" width="15.88671875" style="1" customWidth="1"/>
    <col min="7407" max="7416" width="9" style="1" hidden="1" customWidth="1"/>
    <col min="7417" max="7417" width="36.6640625" style="1" customWidth="1"/>
    <col min="7418" max="7418" width="18.44140625" style="1" customWidth="1"/>
    <col min="7419" max="7420" width="16.44140625" style="1" customWidth="1"/>
    <col min="7421" max="7430" width="9" style="1" hidden="1" customWidth="1"/>
    <col min="7431" max="7658" width="8.88671875" style="1"/>
    <col min="7659" max="7659" width="25.109375" style="1" customWidth="1"/>
    <col min="7660" max="7662" width="15.88671875" style="1" customWidth="1"/>
    <col min="7663" max="7672" width="9" style="1" hidden="1" customWidth="1"/>
    <col min="7673" max="7673" width="36.6640625" style="1" customWidth="1"/>
    <col min="7674" max="7674" width="18.44140625" style="1" customWidth="1"/>
    <col min="7675" max="7676" width="16.44140625" style="1" customWidth="1"/>
    <col min="7677" max="7686" width="9" style="1" hidden="1" customWidth="1"/>
    <col min="7687" max="7914" width="8.88671875" style="1"/>
    <col min="7915" max="7915" width="25.109375" style="1" customWidth="1"/>
    <col min="7916" max="7918" width="15.88671875" style="1" customWidth="1"/>
    <col min="7919" max="7928" width="9" style="1" hidden="1" customWidth="1"/>
    <col min="7929" max="7929" width="36.6640625" style="1" customWidth="1"/>
    <col min="7930" max="7930" width="18.44140625" style="1" customWidth="1"/>
    <col min="7931" max="7932" width="16.44140625" style="1" customWidth="1"/>
    <col min="7933" max="7942" width="9" style="1" hidden="1" customWidth="1"/>
    <col min="7943" max="8170" width="8.88671875" style="1"/>
    <col min="8171" max="8171" width="25.109375" style="1" customWidth="1"/>
    <col min="8172" max="8174" width="15.88671875" style="1" customWidth="1"/>
    <col min="8175" max="8184" width="9" style="1" hidden="1" customWidth="1"/>
    <col min="8185" max="8185" width="36.6640625" style="1" customWidth="1"/>
    <col min="8186" max="8186" width="18.44140625" style="1" customWidth="1"/>
    <col min="8187" max="8188" width="16.44140625" style="1" customWidth="1"/>
    <col min="8189" max="8198" width="9" style="1" hidden="1" customWidth="1"/>
    <col min="8199" max="8426" width="8.88671875" style="1"/>
    <col min="8427" max="8427" width="25.109375" style="1" customWidth="1"/>
    <col min="8428" max="8430" width="15.88671875" style="1" customWidth="1"/>
    <col min="8431" max="8440" width="9" style="1" hidden="1" customWidth="1"/>
    <col min="8441" max="8441" width="36.6640625" style="1" customWidth="1"/>
    <col min="8442" max="8442" width="18.44140625" style="1" customWidth="1"/>
    <col min="8443" max="8444" width="16.44140625" style="1" customWidth="1"/>
    <col min="8445" max="8454" width="9" style="1" hidden="1" customWidth="1"/>
    <col min="8455" max="8682" width="8.88671875" style="1"/>
    <col min="8683" max="8683" width="25.109375" style="1" customWidth="1"/>
    <col min="8684" max="8686" width="15.88671875" style="1" customWidth="1"/>
    <col min="8687" max="8696" width="9" style="1" hidden="1" customWidth="1"/>
    <col min="8697" max="8697" width="36.6640625" style="1" customWidth="1"/>
    <col min="8698" max="8698" width="18.44140625" style="1" customWidth="1"/>
    <col min="8699" max="8700" width="16.44140625" style="1" customWidth="1"/>
    <col min="8701" max="8710" width="9" style="1" hidden="1" customWidth="1"/>
    <col min="8711" max="8938" width="8.88671875" style="1"/>
    <col min="8939" max="8939" width="25.109375" style="1" customWidth="1"/>
    <col min="8940" max="8942" width="15.88671875" style="1" customWidth="1"/>
    <col min="8943" max="8952" width="9" style="1" hidden="1" customWidth="1"/>
    <col min="8953" max="8953" width="36.6640625" style="1" customWidth="1"/>
    <col min="8954" max="8954" width="18.44140625" style="1" customWidth="1"/>
    <col min="8955" max="8956" width="16.44140625" style="1" customWidth="1"/>
    <col min="8957" max="8966" width="9" style="1" hidden="1" customWidth="1"/>
    <col min="8967" max="9194" width="8.88671875" style="1"/>
    <col min="9195" max="9195" width="25.109375" style="1" customWidth="1"/>
    <col min="9196" max="9198" width="15.88671875" style="1" customWidth="1"/>
    <col min="9199" max="9208" width="9" style="1" hidden="1" customWidth="1"/>
    <col min="9209" max="9209" width="36.6640625" style="1" customWidth="1"/>
    <col min="9210" max="9210" width="18.44140625" style="1" customWidth="1"/>
    <col min="9211" max="9212" width="16.44140625" style="1" customWidth="1"/>
    <col min="9213" max="9222" width="9" style="1" hidden="1" customWidth="1"/>
    <col min="9223" max="9450" width="8.88671875" style="1"/>
    <col min="9451" max="9451" width="25.109375" style="1" customWidth="1"/>
    <col min="9452" max="9454" width="15.88671875" style="1" customWidth="1"/>
    <col min="9455" max="9464" width="9" style="1" hidden="1" customWidth="1"/>
    <col min="9465" max="9465" width="36.6640625" style="1" customWidth="1"/>
    <col min="9466" max="9466" width="18.44140625" style="1" customWidth="1"/>
    <col min="9467" max="9468" width="16.44140625" style="1" customWidth="1"/>
    <col min="9469" max="9478" width="9" style="1" hidden="1" customWidth="1"/>
    <col min="9479" max="9706" width="8.88671875" style="1"/>
    <col min="9707" max="9707" width="25.109375" style="1" customWidth="1"/>
    <col min="9708" max="9710" width="15.88671875" style="1" customWidth="1"/>
    <col min="9711" max="9720" width="9" style="1" hidden="1" customWidth="1"/>
    <col min="9721" max="9721" width="36.6640625" style="1" customWidth="1"/>
    <col min="9722" max="9722" width="18.44140625" style="1" customWidth="1"/>
    <col min="9723" max="9724" width="16.44140625" style="1" customWidth="1"/>
    <col min="9725" max="9734" width="9" style="1" hidden="1" customWidth="1"/>
    <col min="9735" max="9962" width="8.88671875" style="1"/>
    <col min="9963" max="9963" width="25.109375" style="1" customWidth="1"/>
    <col min="9964" max="9966" width="15.88671875" style="1" customWidth="1"/>
    <col min="9967" max="9976" width="9" style="1" hidden="1" customWidth="1"/>
    <col min="9977" max="9977" width="36.6640625" style="1" customWidth="1"/>
    <col min="9978" max="9978" width="18.44140625" style="1" customWidth="1"/>
    <col min="9979" max="9980" width="16.44140625" style="1" customWidth="1"/>
    <col min="9981" max="9990" width="9" style="1" hidden="1" customWidth="1"/>
    <col min="9991" max="10218" width="8.88671875" style="1"/>
    <col min="10219" max="10219" width="25.109375" style="1" customWidth="1"/>
    <col min="10220" max="10222" width="15.88671875" style="1" customWidth="1"/>
    <col min="10223" max="10232" width="9" style="1" hidden="1" customWidth="1"/>
    <col min="10233" max="10233" width="36.6640625" style="1" customWidth="1"/>
    <col min="10234" max="10234" width="18.44140625" style="1" customWidth="1"/>
    <col min="10235" max="10236" width="16.44140625" style="1" customWidth="1"/>
    <col min="10237" max="10246" width="9" style="1" hidden="1" customWidth="1"/>
    <col min="10247" max="10474" width="8.88671875" style="1"/>
    <col min="10475" max="10475" width="25.109375" style="1" customWidth="1"/>
    <col min="10476" max="10478" width="15.88671875" style="1" customWidth="1"/>
    <col min="10479" max="10488" width="9" style="1" hidden="1" customWidth="1"/>
    <col min="10489" max="10489" width="36.6640625" style="1" customWidth="1"/>
    <col min="10490" max="10490" width="18.44140625" style="1" customWidth="1"/>
    <col min="10491" max="10492" width="16.44140625" style="1" customWidth="1"/>
    <col min="10493" max="10502" width="9" style="1" hidden="1" customWidth="1"/>
    <col min="10503" max="10730" width="8.88671875" style="1"/>
    <col min="10731" max="10731" width="25.109375" style="1" customWidth="1"/>
    <col min="10732" max="10734" width="15.88671875" style="1" customWidth="1"/>
    <col min="10735" max="10744" width="9" style="1" hidden="1" customWidth="1"/>
    <col min="10745" max="10745" width="36.6640625" style="1" customWidth="1"/>
    <col min="10746" max="10746" width="18.44140625" style="1" customWidth="1"/>
    <col min="10747" max="10748" width="16.44140625" style="1" customWidth="1"/>
    <col min="10749" max="10758" width="9" style="1" hidden="1" customWidth="1"/>
    <col min="10759" max="10986" width="8.88671875" style="1"/>
    <col min="10987" max="10987" width="25.109375" style="1" customWidth="1"/>
    <col min="10988" max="10990" width="15.88671875" style="1" customWidth="1"/>
    <col min="10991" max="11000" width="9" style="1" hidden="1" customWidth="1"/>
    <col min="11001" max="11001" width="36.6640625" style="1" customWidth="1"/>
    <col min="11002" max="11002" width="18.44140625" style="1" customWidth="1"/>
    <col min="11003" max="11004" width="16.44140625" style="1" customWidth="1"/>
    <col min="11005" max="11014" width="9" style="1" hidden="1" customWidth="1"/>
    <col min="11015" max="11242" width="8.88671875" style="1"/>
    <col min="11243" max="11243" width="25.109375" style="1" customWidth="1"/>
    <col min="11244" max="11246" width="15.88671875" style="1" customWidth="1"/>
    <col min="11247" max="11256" width="9" style="1" hidden="1" customWidth="1"/>
    <col min="11257" max="11257" width="36.6640625" style="1" customWidth="1"/>
    <col min="11258" max="11258" width="18.44140625" style="1" customWidth="1"/>
    <col min="11259" max="11260" width="16.44140625" style="1" customWidth="1"/>
    <col min="11261" max="11270" width="9" style="1" hidden="1" customWidth="1"/>
    <col min="11271" max="11498" width="8.88671875" style="1"/>
    <col min="11499" max="11499" width="25.109375" style="1" customWidth="1"/>
    <col min="11500" max="11502" width="15.88671875" style="1" customWidth="1"/>
    <col min="11503" max="11512" width="9" style="1" hidden="1" customWidth="1"/>
    <col min="11513" max="11513" width="36.6640625" style="1" customWidth="1"/>
    <col min="11514" max="11514" width="18.44140625" style="1" customWidth="1"/>
    <col min="11515" max="11516" width="16.44140625" style="1" customWidth="1"/>
    <col min="11517" max="11526" width="9" style="1" hidden="1" customWidth="1"/>
    <col min="11527" max="11754" width="8.88671875" style="1"/>
    <col min="11755" max="11755" width="25.109375" style="1" customWidth="1"/>
    <col min="11756" max="11758" width="15.88671875" style="1" customWidth="1"/>
    <col min="11759" max="11768" width="9" style="1" hidden="1" customWidth="1"/>
    <col min="11769" max="11769" width="36.6640625" style="1" customWidth="1"/>
    <col min="11770" max="11770" width="18.44140625" style="1" customWidth="1"/>
    <col min="11771" max="11772" width="16.44140625" style="1" customWidth="1"/>
    <col min="11773" max="11782" width="9" style="1" hidden="1" customWidth="1"/>
    <col min="11783" max="12010" width="8.88671875" style="1"/>
    <col min="12011" max="12011" width="25.109375" style="1" customWidth="1"/>
    <col min="12012" max="12014" width="15.88671875" style="1" customWidth="1"/>
    <col min="12015" max="12024" width="9" style="1" hidden="1" customWidth="1"/>
    <col min="12025" max="12025" width="36.6640625" style="1" customWidth="1"/>
    <col min="12026" max="12026" width="18.44140625" style="1" customWidth="1"/>
    <col min="12027" max="12028" width="16.44140625" style="1" customWidth="1"/>
    <col min="12029" max="12038" width="9" style="1" hidden="1" customWidth="1"/>
    <col min="12039" max="12266" width="8.88671875" style="1"/>
    <col min="12267" max="12267" width="25.109375" style="1" customWidth="1"/>
    <col min="12268" max="12270" width="15.88671875" style="1" customWidth="1"/>
    <col min="12271" max="12280" width="9" style="1" hidden="1" customWidth="1"/>
    <col min="12281" max="12281" width="36.6640625" style="1" customWidth="1"/>
    <col min="12282" max="12282" width="18.44140625" style="1" customWidth="1"/>
    <col min="12283" max="12284" width="16.44140625" style="1" customWidth="1"/>
    <col min="12285" max="12294" width="9" style="1" hidden="1" customWidth="1"/>
    <col min="12295" max="12522" width="8.88671875" style="1"/>
    <col min="12523" max="12523" width="25.109375" style="1" customWidth="1"/>
    <col min="12524" max="12526" width="15.88671875" style="1" customWidth="1"/>
    <col min="12527" max="12536" width="9" style="1" hidden="1" customWidth="1"/>
    <col min="12537" max="12537" width="36.6640625" style="1" customWidth="1"/>
    <col min="12538" max="12538" width="18.44140625" style="1" customWidth="1"/>
    <col min="12539" max="12540" width="16.44140625" style="1" customWidth="1"/>
    <col min="12541" max="12550" width="9" style="1" hidden="1" customWidth="1"/>
    <col min="12551" max="12778" width="8.88671875" style="1"/>
    <col min="12779" max="12779" width="25.109375" style="1" customWidth="1"/>
    <col min="12780" max="12782" width="15.88671875" style="1" customWidth="1"/>
    <col min="12783" max="12792" width="9" style="1" hidden="1" customWidth="1"/>
    <col min="12793" max="12793" width="36.6640625" style="1" customWidth="1"/>
    <col min="12794" max="12794" width="18.44140625" style="1" customWidth="1"/>
    <col min="12795" max="12796" width="16.44140625" style="1" customWidth="1"/>
    <col min="12797" max="12806" width="9" style="1" hidden="1" customWidth="1"/>
    <col min="12807" max="13034" width="8.88671875" style="1"/>
    <col min="13035" max="13035" width="25.109375" style="1" customWidth="1"/>
    <col min="13036" max="13038" width="15.88671875" style="1" customWidth="1"/>
    <col min="13039" max="13048" width="9" style="1" hidden="1" customWidth="1"/>
    <col min="13049" max="13049" width="36.6640625" style="1" customWidth="1"/>
    <col min="13050" max="13050" width="18.44140625" style="1" customWidth="1"/>
    <col min="13051" max="13052" width="16.44140625" style="1" customWidth="1"/>
    <col min="13053" max="13062" width="9" style="1" hidden="1" customWidth="1"/>
    <col min="13063" max="13290" width="8.88671875" style="1"/>
    <col min="13291" max="13291" width="25.109375" style="1" customWidth="1"/>
    <col min="13292" max="13294" width="15.88671875" style="1" customWidth="1"/>
    <col min="13295" max="13304" width="9" style="1" hidden="1" customWidth="1"/>
    <col min="13305" max="13305" width="36.6640625" style="1" customWidth="1"/>
    <col min="13306" max="13306" width="18.44140625" style="1" customWidth="1"/>
    <col min="13307" max="13308" width="16.44140625" style="1" customWidth="1"/>
    <col min="13309" max="13318" width="9" style="1" hidden="1" customWidth="1"/>
    <col min="13319" max="13546" width="8.88671875" style="1"/>
    <col min="13547" max="13547" width="25.109375" style="1" customWidth="1"/>
    <col min="13548" max="13550" width="15.88671875" style="1" customWidth="1"/>
    <col min="13551" max="13560" width="9" style="1" hidden="1" customWidth="1"/>
    <col min="13561" max="13561" width="36.6640625" style="1" customWidth="1"/>
    <col min="13562" max="13562" width="18.44140625" style="1" customWidth="1"/>
    <col min="13563" max="13564" width="16.44140625" style="1" customWidth="1"/>
    <col min="13565" max="13574" width="9" style="1" hidden="1" customWidth="1"/>
    <col min="13575" max="13802" width="8.88671875" style="1"/>
    <col min="13803" max="13803" width="25.109375" style="1" customWidth="1"/>
    <col min="13804" max="13806" width="15.88671875" style="1" customWidth="1"/>
    <col min="13807" max="13816" width="9" style="1" hidden="1" customWidth="1"/>
    <col min="13817" max="13817" width="36.6640625" style="1" customWidth="1"/>
    <col min="13818" max="13818" width="18.44140625" style="1" customWidth="1"/>
    <col min="13819" max="13820" width="16.44140625" style="1" customWidth="1"/>
    <col min="13821" max="13830" width="9" style="1" hidden="1" customWidth="1"/>
    <col min="13831" max="14058" width="8.88671875" style="1"/>
    <col min="14059" max="14059" width="25.109375" style="1" customWidth="1"/>
    <col min="14060" max="14062" width="15.88671875" style="1" customWidth="1"/>
    <col min="14063" max="14072" width="9" style="1" hidden="1" customWidth="1"/>
    <col min="14073" max="14073" width="36.6640625" style="1" customWidth="1"/>
    <col min="14074" max="14074" width="18.44140625" style="1" customWidth="1"/>
    <col min="14075" max="14076" width="16.44140625" style="1" customWidth="1"/>
    <col min="14077" max="14086" width="9" style="1" hidden="1" customWidth="1"/>
    <col min="14087" max="14314" width="8.88671875" style="1"/>
    <col min="14315" max="14315" width="25.109375" style="1" customWidth="1"/>
    <col min="14316" max="14318" width="15.88671875" style="1" customWidth="1"/>
    <col min="14319" max="14328" width="9" style="1" hidden="1" customWidth="1"/>
    <col min="14329" max="14329" width="36.6640625" style="1" customWidth="1"/>
    <col min="14330" max="14330" width="18.44140625" style="1" customWidth="1"/>
    <col min="14331" max="14332" width="16.44140625" style="1" customWidth="1"/>
    <col min="14333" max="14342" width="9" style="1" hidden="1" customWidth="1"/>
    <col min="14343" max="14570" width="8.88671875" style="1"/>
    <col min="14571" max="14571" width="25.109375" style="1" customWidth="1"/>
    <col min="14572" max="14574" width="15.88671875" style="1" customWidth="1"/>
    <col min="14575" max="14584" width="9" style="1" hidden="1" customWidth="1"/>
    <col min="14585" max="14585" width="36.6640625" style="1" customWidth="1"/>
    <col min="14586" max="14586" width="18.44140625" style="1" customWidth="1"/>
    <col min="14587" max="14588" width="16.44140625" style="1" customWidth="1"/>
    <col min="14589" max="14598" width="9" style="1" hidden="1" customWidth="1"/>
    <col min="14599" max="14826" width="8.88671875" style="1"/>
    <col min="14827" max="14827" width="25.109375" style="1" customWidth="1"/>
    <col min="14828" max="14830" width="15.88671875" style="1" customWidth="1"/>
    <col min="14831" max="14840" width="9" style="1" hidden="1" customWidth="1"/>
    <col min="14841" max="14841" width="36.6640625" style="1" customWidth="1"/>
    <col min="14842" max="14842" width="18.44140625" style="1" customWidth="1"/>
    <col min="14843" max="14844" width="16.44140625" style="1" customWidth="1"/>
    <col min="14845" max="14854" width="9" style="1" hidden="1" customWidth="1"/>
    <col min="14855" max="15082" width="8.88671875" style="1"/>
    <col min="15083" max="15083" width="25.109375" style="1" customWidth="1"/>
    <col min="15084" max="15086" width="15.88671875" style="1" customWidth="1"/>
    <col min="15087" max="15096" width="9" style="1" hidden="1" customWidth="1"/>
    <col min="15097" max="15097" width="36.6640625" style="1" customWidth="1"/>
    <col min="15098" max="15098" width="18.44140625" style="1" customWidth="1"/>
    <col min="15099" max="15100" width="16.44140625" style="1" customWidth="1"/>
    <col min="15101" max="15110" width="9" style="1" hidden="1" customWidth="1"/>
    <col min="15111" max="15338" width="8.88671875" style="1"/>
    <col min="15339" max="15339" width="25.109375" style="1" customWidth="1"/>
    <col min="15340" max="15342" width="15.88671875" style="1" customWidth="1"/>
    <col min="15343" max="15352" width="9" style="1" hidden="1" customWidth="1"/>
    <col min="15353" max="15353" width="36.6640625" style="1" customWidth="1"/>
    <col min="15354" max="15354" width="18.44140625" style="1" customWidth="1"/>
    <col min="15355" max="15356" width="16.44140625" style="1" customWidth="1"/>
    <col min="15357" max="15366" width="9" style="1" hidden="1" customWidth="1"/>
    <col min="15367" max="15594" width="8.88671875" style="1"/>
    <col min="15595" max="15595" width="25.109375" style="1" customWidth="1"/>
    <col min="15596" max="15598" width="15.88671875" style="1" customWidth="1"/>
    <col min="15599" max="15608" width="9" style="1" hidden="1" customWidth="1"/>
    <col min="15609" max="15609" width="36.6640625" style="1" customWidth="1"/>
    <col min="15610" max="15610" width="18.44140625" style="1" customWidth="1"/>
    <col min="15611" max="15612" width="16.44140625" style="1" customWidth="1"/>
    <col min="15613" max="15622" width="9" style="1" hidden="1" customWidth="1"/>
    <col min="15623" max="15850" width="8.88671875" style="1"/>
    <col min="15851" max="15851" width="25.109375" style="1" customWidth="1"/>
    <col min="15852" max="15854" width="15.88671875" style="1" customWidth="1"/>
    <col min="15855" max="15864" width="9" style="1" hidden="1" customWidth="1"/>
    <col min="15865" max="15865" width="36.6640625" style="1" customWidth="1"/>
    <col min="15866" max="15866" width="18.44140625" style="1" customWidth="1"/>
    <col min="15867" max="15868" width="16.44140625" style="1" customWidth="1"/>
    <col min="15869" max="15878" width="9" style="1" hidden="1" customWidth="1"/>
    <col min="15879" max="16106" width="8.88671875" style="1"/>
    <col min="16107" max="16107" width="25.109375" style="1" customWidth="1"/>
    <col min="16108" max="16110" width="15.88671875" style="1" customWidth="1"/>
    <col min="16111" max="16120" width="9" style="1" hidden="1" customWidth="1"/>
    <col min="16121" max="16121" width="36.6640625" style="1" customWidth="1"/>
    <col min="16122" max="16122" width="18.44140625" style="1" customWidth="1"/>
    <col min="16123" max="16124" width="16.44140625" style="1" customWidth="1"/>
    <col min="16125" max="16134" width="9" style="1" hidden="1" customWidth="1"/>
    <col min="16135" max="16362" width="8.88671875" style="1"/>
    <col min="16363" max="16384" width="8.88671875" style="1" customWidth="1"/>
  </cols>
  <sheetData>
    <row r="1" spans="1:9" ht="27" customHeight="1" x14ac:dyDescent="0.5">
      <c r="A1" s="3" t="s">
        <v>0</v>
      </c>
      <c r="B1" s="3"/>
      <c r="C1" s="3"/>
      <c r="D1" s="3"/>
      <c r="E1" s="3"/>
      <c r="F1" s="3"/>
      <c r="G1" s="27"/>
    </row>
    <row r="2" spans="1:9" ht="15" customHeight="1" x14ac:dyDescent="0.25">
      <c r="A2" s="4"/>
      <c r="B2" s="4"/>
      <c r="C2" s="4"/>
      <c r="D2" s="4"/>
      <c r="E2" s="4"/>
      <c r="F2" s="28"/>
    </row>
    <row r="3" spans="1:9" ht="15" customHeight="1" x14ac:dyDescent="0.25">
      <c r="A3" s="47" t="s">
        <v>1</v>
      </c>
      <c r="B3" s="48"/>
      <c r="C3" s="29"/>
      <c r="D3" s="30">
        <v>46022</v>
      </c>
      <c r="E3" s="31"/>
      <c r="F3" s="32" t="s">
        <v>2</v>
      </c>
    </row>
    <row r="4" spans="1:9" s="26" customFormat="1" ht="23.55" customHeight="1" x14ac:dyDescent="0.15">
      <c r="A4" s="33" t="s">
        <v>3</v>
      </c>
      <c r="B4" s="34" t="s">
        <v>4</v>
      </c>
      <c r="C4" s="35" t="s">
        <v>5</v>
      </c>
      <c r="D4" s="33" t="s">
        <v>6</v>
      </c>
      <c r="E4" s="34" t="s">
        <v>4</v>
      </c>
      <c r="F4" s="35" t="s">
        <v>5</v>
      </c>
    </row>
    <row r="5" spans="1:9" s="26" customFormat="1" ht="23.55" customHeight="1" x14ac:dyDescent="0.15">
      <c r="A5" s="36" t="s">
        <v>7</v>
      </c>
      <c r="B5" s="37"/>
      <c r="C5" s="21"/>
      <c r="D5" s="36" t="s">
        <v>8</v>
      </c>
      <c r="E5" s="21"/>
      <c r="F5" s="21"/>
    </row>
    <row r="6" spans="1:9" s="26" customFormat="1" ht="23.25" customHeight="1" x14ac:dyDescent="0.15">
      <c r="A6" s="38" t="s">
        <v>9</v>
      </c>
      <c r="B6" s="22">
        <v>5324.49</v>
      </c>
      <c r="C6" s="22">
        <v>11432.94</v>
      </c>
      <c r="D6" s="38" t="s">
        <v>10</v>
      </c>
      <c r="E6" s="22"/>
      <c r="F6" s="21"/>
    </row>
    <row r="7" spans="1:9" s="26" customFormat="1" ht="23.25" customHeight="1" x14ac:dyDescent="0.15">
      <c r="A7" s="38" t="s">
        <v>11</v>
      </c>
      <c r="B7" s="22"/>
      <c r="C7" s="22"/>
      <c r="D7" s="38" t="s">
        <v>12</v>
      </c>
      <c r="E7" s="22"/>
      <c r="F7" s="21"/>
    </row>
    <row r="8" spans="1:9" s="26" customFormat="1" ht="22.5" customHeight="1" x14ac:dyDescent="0.15">
      <c r="A8" s="38" t="s">
        <v>13</v>
      </c>
      <c r="B8" s="22"/>
      <c r="C8" s="22"/>
      <c r="D8" s="38" t="s">
        <v>14</v>
      </c>
      <c r="E8" s="22"/>
      <c r="F8" s="21"/>
    </row>
    <row r="9" spans="1:9" s="26" customFormat="1" ht="23.25" customHeight="1" x14ac:dyDescent="0.15">
      <c r="A9" s="38" t="s">
        <v>15</v>
      </c>
      <c r="B9" s="22"/>
      <c r="C9" s="22"/>
      <c r="D9" s="38" t="s">
        <v>16</v>
      </c>
      <c r="E9" s="22">
        <v>150500</v>
      </c>
      <c r="F9" s="22">
        <v>150300</v>
      </c>
      <c r="I9" s="39"/>
    </row>
    <row r="10" spans="1:9" s="26" customFormat="1" ht="23.25" customHeight="1" x14ac:dyDescent="0.15">
      <c r="A10" s="38" t="s">
        <v>17</v>
      </c>
      <c r="B10" s="22">
        <v>2700</v>
      </c>
      <c r="C10" s="22">
        <v>18000</v>
      </c>
      <c r="D10" s="38" t="s">
        <v>18</v>
      </c>
      <c r="E10" s="22"/>
      <c r="F10" s="22"/>
    </row>
    <row r="11" spans="1:9" s="26" customFormat="1" ht="23.25" customHeight="1" x14ac:dyDescent="0.15">
      <c r="A11" s="38" t="s">
        <v>19</v>
      </c>
      <c r="B11" s="22"/>
      <c r="D11" s="38" t="s">
        <v>20</v>
      </c>
      <c r="E11" s="22">
        <v>1624487.1</v>
      </c>
      <c r="F11" s="22">
        <v>3641104.56</v>
      </c>
      <c r="G11" s="40"/>
    </row>
    <row r="12" spans="1:9" s="26" customFormat="1" ht="23.25" customHeight="1" x14ac:dyDescent="0.15">
      <c r="A12" s="38" t="s">
        <v>21</v>
      </c>
      <c r="B12" s="22"/>
      <c r="C12" s="22"/>
      <c r="D12" s="38" t="s">
        <v>22</v>
      </c>
      <c r="E12" s="22">
        <v>-60970.68</v>
      </c>
      <c r="F12" s="22">
        <v>-192617.25</v>
      </c>
    </row>
    <row r="13" spans="1:9" s="26" customFormat="1" ht="23.25" customHeight="1" x14ac:dyDescent="0.15">
      <c r="A13" s="38" t="s">
        <v>23</v>
      </c>
      <c r="B13" s="22">
        <v>21405167.010000002</v>
      </c>
      <c r="C13" s="22">
        <v>19840132.07</v>
      </c>
      <c r="D13" s="38" t="s">
        <v>24</v>
      </c>
      <c r="E13" s="22"/>
      <c r="F13" s="22"/>
    </row>
    <row r="14" spans="1:9" s="26" customFormat="1" ht="23.25" customHeight="1" x14ac:dyDescent="0.15">
      <c r="A14" s="38" t="s">
        <v>25</v>
      </c>
      <c r="B14" s="22"/>
      <c r="C14" s="22"/>
      <c r="D14" s="38" t="s">
        <v>26</v>
      </c>
      <c r="E14" s="22"/>
      <c r="F14" s="22"/>
    </row>
    <row r="15" spans="1:9" s="26" customFormat="1" ht="23.25" customHeight="1" x14ac:dyDescent="0.15">
      <c r="A15" s="38" t="s">
        <v>27</v>
      </c>
      <c r="B15" s="22"/>
      <c r="C15" s="22"/>
      <c r="D15" s="38" t="s">
        <v>28</v>
      </c>
      <c r="E15" s="22">
        <v>7073737.2400000002</v>
      </c>
      <c r="F15" s="22">
        <v>10300506.779999999</v>
      </c>
    </row>
    <row r="16" spans="1:9" s="26" customFormat="1" ht="23.25" customHeight="1" x14ac:dyDescent="0.15">
      <c r="A16" s="41" t="s">
        <v>29</v>
      </c>
      <c r="B16" s="22">
        <v>82733.33</v>
      </c>
      <c r="C16" s="22">
        <v>58000</v>
      </c>
      <c r="D16" s="41" t="s">
        <v>30</v>
      </c>
      <c r="E16" s="22"/>
      <c r="F16" s="21"/>
    </row>
    <row r="17" spans="1:9" s="26" customFormat="1" ht="23.25" customHeight="1" x14ac:dyDescent="0.15">
      <c r="A17" s="41" t="s">
        <v>31</v>
      </c>
      <c r="B17" s="42">
        <f>SUM(B5:B16)</f>
        <v>21495924.829999998</v>
      </c>
      <c r="C17" s="42">
        <f>SUM(C5:C16)</f>
        <v>19927565.010000002</v>
      </c>
      <c r="D17" s="41" t="s">
        <v>32</v>
      </c>
      <c r="E17" s="22"/>
      <c r="F17" s="43"/>
    </row>
    <row r="18" spans="1:9" s="26" customFormat="1" ht="23.25" customHeight="1" x14ac:dyDescent="0.15">
      <c r="A18" s="36" t="s">
        <v>33</v>
      </c>
      <c r="B18" s="22"/>
      <c r="C18" s="21"/>
      <c r="D18" s="41" t="s">
        <v>34</v>
      </c>
      <c r="E18" s="42">
        <f>SUM(E6:E17)</f>
        <v>8787753.6600000001</v>
      </c>
      <c r="F18" s="42">
        <f t="shared" ref="F18" si="0">SUM(F6:F17)</f>
        <v>13899294.09</v>
      </c>
    </row>
    <row r="19" spans="1:9" s="26" customFormat="1" ht="23.25" customHeight="1" x14ac:dyDescent="0.15">
      <c r="A19" s="41" t="s">
        <v>35</v>
      </c>
      <c r="B19" s="22"/>
      <c r="C19" s="21"/>
      <c r="D19" s="36" t="s">
        <v>36</v>
      </c>
      <c r="E19" s="22"/>
      <c r="F19" s="21"/>
    </row>
    <row r="20" spans="1:9" s="26" customFormat="1" ht="23.25" customHeight="1" x14ac:dyDescent="0.15">
      <c r="A20" s="41" t="s">
        <v>37</v>
      </c>
      <c r="B20" s="22"/>
      <c r="C20" s="44"/>
      <c r="D20" s="41" t="s">
        <v>38</v>
      </c>
      <c r="E20" s="22"/>
      <c r="F20" s="21"/>
      <c r="I20" s="39"/>
    </row>
    <row r="21" spans="1:9" s="26" customFormat="1" ht="23.25" customHeight="1" x14ac:dyDescent="0.15">
      <c r="A21" s="41" t="s">
        <v>39</v>
      </c>
      <c r="B21" s="22"/>
      <c r="C21" s="21"/>
      <c r="D21" s="41" t="s">
        <v>40</v>
      </c>
      <c r="E21" s="22"/>
      <c r="F21" s="21"/>
    </row>
    <row r="22" spans="1:9" s="26" customFormat="1" ht="23.25" customHeight="1" x14ac:dyDescent="0.15">
      <c r="A22" s="41" t="s">
        <v>41</v>
      </c>
      <c r="B22" s="22"/>
      <c r="C22" s="21"/>
      <c r="D22" s="41" t="s">
        <v>42</v>
      </c>
      <c r="E22" s="22"/>
      <c r="F22" s="21"/>
    </row>
    <row r="23" spans="1:9" s="26" customFormat="1" ht="23.25" customHeight="1" x14ac:dyDescent="0.15">
      <c r="A23" s="41" t="s">
        <v>43</v>
      </c>
      <c r="B23" s="22"/>
      <c r="C23" s="21"/>
      <c r="D23" s="41" t="s">
        <v>44</v>
      </c>
      <c r="E23" s="22"/>
      <c r="F23" s="21"/>
    </row>
    <row r="24" spans="1:9" s="26" customFormat="1" ht="23.25" customHeight="1" x14ac:dyDescent="0.15">
      <c r="A24" s="41" t="s">
        <v>45</v>
      </c>
      <c r="B24" s="22">
        <v>34839.480000000003</v>
      </c>
      <c r="C24" s="22">
        <v>26098.799999999999</v>
      </c>
      <c r="D24" s="41" t="s">
        <v>46</v>
      </c>
      <c r="E24" s="22"/>
      <c r="F24" s="21"/>
    </row>
    <row r="25" spans="1:9" s="26" customFormat="1" ht="23.25" customHeight="1" x14ac:dyDescent="0.15">
      <c r="A25" s="41" t="s">
        <v>47</v>
      </c>
      <c r="B25" s="22"/>
      <c r="C25" s="22"/>
      <c r="D25" s="41" t="s">
        <v>48</v>
      </c>
      <c r="E25" s="22"/>
      <c r="F25" s="21"/>
    </row>
    <row r="26" spans="1:9" s="26" customFormat="1" ht="23.25" customHeight="1" x14ac:dyDescent="0.15">
      <c r="A26" s="41" t="s">
        <v>49</v>
      </c>
      <c r="B26" s="22"/>
      <c r="C26" s="22"/>
      <c r="D26" s="41" t="s">
        <v>50</v>
      </c>
      <c r="E26" s="22"/>
      <c r="F26" s="21"/>
    </row>
    <row r="27" spans="1:9" s="26" customFormat="1" ht="23.25" customHeight="1" x14ac:dyDescent="0.15">
      <c r="A27" s="41" t="s">
        <v>51</v>
      </c>
      <c r="B27" s="22"/>
      <c r="C27" s="22"/>
      <c r="D27" s="41" t="s">
        <v>52</v>
      </c>
      <c r="E27" s="22"/>
      <c r="F27" s="21"/>
    </row>
    <row r="28" spans="1:9" s="26" customFormat="1" ht="23.25" customHeight="1" x14ac:dyDescent="0.15">
      <c r="A28" s="41" t="s">
        <v>53</v>
      </c>
      <c r="B28" s="22"/>
      <c r="C28" s="22"/>
      <c r="D28" s="41" t="s">
        <v>54</v>
      </c>
      <c r="E28" s="42">
        <f t="shared" ref="E28:F28" si="1">E18+E27</f>
        <v>8787753.6600000001</v>
      </c>
      <c r="F28" s="42">
        <f t="shared" si="1"/>
        <v>13899294.09</v>
      </c>
    </row>
    <row r="29" spans="1:9" s="26" customFormat="1" ht="23.25" customHeight="1" x14ac:dyDescent="0.15">
      <c r="A29" s="41" t="s">
        <v>55</v>
      </c>
      <c r="B29" s="22"/>
      <c r="C29" s="22"/>
      <c r="D29" s="36" t="s">
        <v>56</v>
      </c>
      <c r="E29" s="22"/>
      <c r="F29" s="21"/>
    </row>
    <row r="30" spans="1:9" s="26" customFormat="1" ht="23.25" customHeight="1" x14ac:dyDescent="0.15">
      <c r="A30" s="41" t="s">
        <v>57</v>
      </c>
      <c r="B30" s="22">
        <v>3266.88</v>
      </c>
      <c r="C30" s="22">
        <v>2566.92</v>
      </c>
      <c r="D30" s="41" t="s">
        <v>58</v>
      </c>
      <c r="E30" s="22">
        <v>50000000</v>
      </c>
      <c r="F30" s="22">
        <v>50000000</v>
      </c>
    </row>
    <row r="31" spans="1:9" s="26" customFormat="1" ht="23.25" customHeight="1" x14ac:dyDescent="0.15">
      <c r="A31" s="41" t="s">
        <v>59</v>
      </c>
      <c r="B31" s="22"/>
      <c r="C31" s="21"/>
      <c r="D31" s="41" t="s">
        <v>60</v>
      </c>
      <c r="E31" s="22"/>
      <c r="F31" s="21"/>
    </row>
    <row r="32" spans="1:9" s="26" customFormat="1" ht="23.25" customHeight="1" x14ac:dyDescent="0.15">
      <c r="A32" s="41" t="s">
        <v>61</v>
      </c>
      <c r="B32" s="22"/>
      <c r="C32" s="21"/>
      <c r="D32" s="41" t="s">
        <v>62</v>
      </c>
      <c r="E32" s="22"/>
      <c r="F32" s="21"/>
    </row>
    <row r="33" spans="1:8" s="26" customFormat="1" ht="23.25" customHeight="1" x14ac:dyDescent="0.15">
      <c r="A33" s="41" t="s">
        <v>63</v>
      </c>
      <c r="B33" s="22"/>
      <c r="C33" s="21"/>
      <c r="D33" s="41" t="s">
        <v>64</v>
      </c>
      <c r="E33" s="22"/>
      <c r="F33" s="21"/>
    </row>
    <row r="34" spans="1:8" s="26" customFormat="1" ht="23.25" customHeight="1" x14ac:dyDescent="0.15">
      <c r="A34" s="41" t="s">
        <v>65</v>
      </c>
      <c r="B34" s="22"/>
      <c r="C34" s="21"/>
      <c r="D34" s="41" t="s">
        <v>66</v>
      </c>
      <c r="E34" s="22">
        <v>-37253722.469999999</v>
      </c>
      <c r="F34" s="22">
        <v>-43943063.359999999</v>
      </c>
      <c r="G34" s="40"/>
      <c r="H34" s="40"/>
    </row>
    <row r="35" spans="1:8" s="26" customFormat="1" ht="23.25" customHeight="1" x14ac:dyDescent="0.15">
      <c r="A35" s="41" t="s">
        <v>67</v>
      </c>
      <c r="B35" s="22"/>
      <c r="C35" s="21"/>
      <c r="D35" s="41" t="s">
        <v>68</v>
      </c>
      <c r="E35" s="42">
        <f>SUM(E30:E31,E33:E34)-E32</f>
        <v>12746277.529999999</v>
      </c>
      <c r="F35" s="42">
        <f t="shared" ref="F35" si="2">SUM(F30:F31,F33:F34)-F32</f>
        <v>6056936.6399999997</v>
      </c>
      <c r="G35" s="40"/>
    </row>
    <row r="36" spans="1:8" s="26" customFormat="1" ht="23.25" customHeight="1" x14ac:dyDescent="0.15">
      <c r="A36" s="41" t="s">
        <v>69</v>
      </c>
      <c r="B36" s="42">
        <f t="shared" ref="B36" si="3">SUM(B19:B35)</f>
        <v>38106.36</v>
      </c>
      <c r="C36" s="42">
        <f t="shared" ref="C36" si="4">SUM(C19:C35)</f>
        <v>28665.72</v>
      </c>
      <c r="D36" s="41" t="s">
        <v>70</v>
      </c>
      <c r="E36" s="22"/>
      <c r="F36" s="21"/>
      <c r="G36" s="40"/>
    </row>
    <row r="37" spans="1:8" s="26" customFormat="1" ht="23.25" customHeight="1" x14ac:dyDescent="0.15">
      <c r="A37" s="36" t="s">
        <v>71</v>
      </c>
      <c r="B37" s="42">
        <f t="shared" ref="B37" si="5">B17+B36</f>
        <v>21534031.190000001</v>
      </c>
      <c r="C37" s="45">
        <f t="shared" ref="C37" si="6">C17+C36</f>
        <v>19956230.73</v>
      </c>
      <c r="D37" s="36" t="s">
        <v>72</v>
      </c>
      <c r="E37" s="42">
        <f t="shared" ref="E37" si="7">E28+E35</f>
        <v>21534031.190000001</v>
      </c>
      <c r="F37" s="42">
        <f t="shared" ref="F37" si="8">F28+F35</f>
        <v>19956230.73</v>
      </c>
      <c r="G37" s="40"/>
    </row>
    <row r="38" spans="1:8" ht="23.25" customHeight="1" x14ac:dyDescent="0.25">
      <c r="E38" s="2"/>
      <c r="F38" s="2"/>
      <c r="G38" s="2"/>
      <c r="H38" s="2"/>
    </row>
    <row r="39" spans="1:8" ht="14.25" customHeight="1" x14ac:dyDescent="0.25">
      <c r="B39" s="46"/>
      <c r="E39" s="2"/>
      <c r="F39" s="2"/>
      <c r="G39" s="2"/>
      <c r="H39" s="2"/>
    </row>
    <row r="40" spans="1:8" ht="14.25" customHeight="1" x14ac:dyDescent="0.25">
      <c r="E40" s="2"/>
      <c r="F40" s="2"/>
      <c r="G40" s="2"/>
      <c r="H40" s="2"/>
    </row>
    <row r="41" spans="1:8" ht="14.25" customHeight="1" x14ac:dyDescent="0.25">
      <c r="E41" s="2"/>
      <c r="F41" s="2"/>
      <c r="G41" s="2"/>
      <c r="H41" s="2"/>
    </row>
    <row r="42" spans="1:8" ht="14.25" customHeight="1" x14ac:dyDescent="0.25">
      <c r="E42" s="2"/>
      <c r="F42" s="2"/>
      <c r="G42" s="2"/>
      <c r="H42" s="2"/>
    </row>
    <row r="43" spans="1:8" ht="14.25" customHeight="1" x14ac:dyDescent="0.25">
      <c r="E43" s="2"/>
      <c r="F43" s="2"/>
      <c r="G43" s="2"/>
      <c r="H43" s="2"/>
    </row>
    <row r="44" spans="1:8" ht="14.25" customHeight="1" x14ac:dyDescent="0.25">
      <c r="E44" s="2"/>
      <c r="F44" s="2"/>
      <c r="G44" s="2"/>
      <c r="H44" s="2"/>
    </row>
    <row r="45" spans="1:8" ht="14.25" customHeight="1" x14ac:dyDescent="0.25">
      <c r="E45" s="2"/>
      <c r="F45" s="2"/>
      <c r="G45" s="2"/>
      <c r="H45" s="2"/>
    </row>
    <row r="46" spans="1:8" ht="14.25" customHeight="1" x14ac:dyDescent="0.25">
      <c r="E46" s="2"/>
      <c r="F46" s="2"/>
      <c r="G46" s="2"/>
      <c r="H46" s="2"/>
    </row>
  </sheetData>
  <mergeCells count="1">
    <mergeCell ref="A3:B3"/>
  </mergeCells>
  <phoneticPr fontId="14" type="noConversion"/>
  <pageMargins left="0.196850393700787" right="7.8740157480315001E-2" top="0.39370078740157499" bottom="0.39370078740157499" header="0.51180999999999999" footer="0.51180999999999999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WVJ27"/>
  <sheetViews>
    <sheetView workbookViewId="0">
      <pane xSplit="1" ySplit="3" topLeftCell="B17" activePane="bottomRight" state="frozen"/>
      <selection pane="topRight"/>
      <selection pane="bottomLeft"/>
      <selection pane="bottomRight" activeCell="G22" sqref="G22"/>
    </sheetView>
  </sheetViews>
  <sheetFormatPr defaultColWidth="9" defaultRowHeight="14.25" customHeight="1" x14ac:dyDescent="0.25"/>
  <cols>
    <col min="1" max="1" width="40.44140625" style="1" customWidth="1"/>
    <col min="2" max="2" width="14.44140625" style="1" customWidth="1"/>
    <col min="3" max="3" width="16.33203125" style="2" customWidth="1"/>
    <col min="4" max="6" width="8.88671875" style="1"/>
    <col min="7" max="7" width="11.6640625" style="1" customWidth="1"/>
    <col min="8" max="245" width="8.88671875" style="1"/>
    <col min="246" max="246" width="53.88671875" style="1" customWidth="1"/>
    <col min="247" max="247" width="16.44140625" style="1" customWidth="1"/>
    <col min="248" max="258" width="9" style="1" hidden="1" customWidth="1"/>
    <col min="259" max="259" width="17.88671875" style="1" customWidth="1"/>
    <col min="260" max="501" width="8.88671875" style="1"/>
    <col min="502" max="502" width="53.88671875" style="1" customWidth="1"/>
    <col min="503" max="503" width="16.44140625" style="1" customWidth="1"/>
    <col min="504" max="514" width="9" style="1" hidden="1" customWidth="1"/>
    <col min="515" max="515" width="17.88671875" style="1" customWidth="1"/>
    <col min="516" max="757" width="8.88671875" style="1"/>
    <col min="758" max="758" width="53.88671875" style="1" customWidth="1"/>
    <col min="759" max="759" width="16.44140625" style="1" customWidth="1"/>
    <col min="760" max="770" width="9" style="1" hidden="1" customWidth="1"/>
    <col min="771" max="771" width="17.88671875" style="1" customWidth="1"/>
    <col min="772" max="1013" width="8.88671875" style="1"/>
    <col min="1014" max="1014" width="53.88671875" style="1" customWidth="1"/>
    <col min="1015" max="1015" width="16.44140625" style="1" customWidth="1"/>
    <col min="1016" max="1026" width="9" style="1" hidden="1" customWidth="1"/>
    <col min="1027" max="1027" width="17.88671875" style="1" customWidth="1"/>
    <col min="1028" max="1269" width="8.88671875" style="1"/>
    <col min="1270" max="1270" width="53.88671875" style="1" customWidth="1"/>
    <col min="1271" max="1271" width="16.44140625" style="1" customWidth="1"/>
    <col min="1272" max="1282" width="9" style="1" hidden="1" customWidth="1"/>
    <col min="1283" max="1283" width="17.88671875" style="1" customWidth="1"/>
    <col min="1284" max="1525" width="8.88671875" style="1"/>
    <col min="1526" max="1526" width="53.88671875" style="1" customWidth="1"/>
    <col min="1527" max="1527" width="16.44140625" style="1" customWidth="1"/>
    <col min="1528" max="1538" width="9" style="1" hidden="1" customWidth="1"/>
    <col min="1539" max="1539" width="17.88671875" style="1" customWidth="1"/>
    <col min="1540" max="1781" width="8.88671875" style="1"/>
    <col min="1782" max="1782" width="53.88671875" style="1" customWidth="1"/>
    <col min="1783" max="1783" width="16.44140625" style="1" customWidth="1"/>
    <col min="1784" max="1794" width="9" style="1" hidden="1" customWidth="1"/>
    <col min="1795" max="1795" width="17.88671875" style="1" customWidth="1"/>
    <col min="1796" max="2037" width="8.88671875" style="1"/>
    <col min="2038" max="2038" width="53.88671875" style="1" customWidth="1"/>
    <col min="2039" max="2039" width="16.44140625" style="1" customWidth="1"/>
    <col min="2040" max="2050" width="9" style="1" hidden="1" customWidth="1"/>
    <col min="2051" max="2051" width="17.88671875" style="1" customWidth="1"/>
    <col min="2052" max="2293" width="8.88671875" style="1"/>
    <col min="2294" max="2294" width="53.88671875" style="1" customWidth="1"/>
    <col min="2295" max="2295" width="16.44140625" style="1" customWidth="1"/>
    <col min="2296" max="2306" width="9" style="1" hidden="1" customWidth="1"/>
    <col min="2307" max="2307" width="17.88671875" style="1" customWidth="1"/>
    <col min="2308" max="2549" width="8.88671875" style="1"/>
    <col min="2550" max="2550" width="53.88671875" style="1" customWidth="1"/>
    <col min="2551" max="2551" width="16.44140625" style="1" customWidth="1"/>
    <col min="2552" max="2562" width="9" style="1" hidden="1" customWidth="1"/>
    <col min="2563" max="2563" width="17.88671875" style="1" customWidth="1"/>
    <col min="2564" max="2805" width="8.88671875" style="1"/>
    <col min="2806" max="2806" width="53.88671875" style="1" customWidth="1"/>
    <col min="2807" max="2807" width="16.44140625" style="1" customWidth="1"/>
    <col min="2808" max="2818" width="9" style="1" hidden="1" customWidth="1"/>
    <col min="2819" max="2819" width="17.88671875" style="1" customWidth="1"/>
    <col min="2820" max="3061" width="8.88671875" style="1"/>
    <col min="3062" max="3062" width="53.88671875" style="1" customWidth="1"/>
    <col min="3063" max="3063" width="16.44140625" style="1" customWidth="1"/>
    <col min="3064" max="3074" width="9" style="1" hidden="1" customWidth="1"/>
    <col min="3075" max="3075" width="17.88671875" style="1" customWidth="1"/>
    <col min="3076" max="3317" width="8.88671875" style="1"/>
    <col min="3318" max="3318" width="53.88671875" style="1" customWidth="1"/>
    <col min="3319" max="3319" width="16.44140625" style="1" customWidth="1"/>
    <col min="3320" max="3330" width="9" style="1" hidden="1" customWidth="1"/>
    <col min="3331" max="3331" width="17.88671875" style="1" customWidth="1"/>
    <col min="3332" max="3573" width="8.88671875" style="1"/>
    <col min="3574" max="3574" width="53.88671875" style="1" customWidth="1"/>
    <col min="3575" max="3575" width="16.44140625" style="1" customWidth="1"/>
    <col min="3576" max="3586" width="9" style="1" hidden="1" customWidth="1"/>
    <col min="3587" max="3587" width="17.88671875" style="1" customWidth="1"/>
    <col min="3588" max="3829" width="8.88671875" style="1"/>
    <col min="3830" max="3830" width="53.88671875" style="1" customWidth="1"/>
    <col min="3831" max="3831" width="16.44140625" style="1" customWidth="1"/>
    <col min="3832" max="3842" width="9" style="1" hidden="1" customWidth="1"/>
    <col min="3843" max="3843" width="17.88671875" style="1" customWidth="1"/>
    <col min="3844" max="4085" width="8.88671875" style="1"/>
    <col min="4086" max="4086" width="53.88671875" style="1" customWidth="1"/>
    <col min="4087" max="4087" width="16.44140625" style="1" customWidth="1"/>
    <col min="4088" max="4098" width="9" style="1" hidden="1" customWidth="1"/>
    <col min="4099" max="4099" width="17.88671875" style="1" customWidth="1"/>
    <col min="4100" max="4341" width="8.88671875" style="1"/>
    <col min="4342" max="4342" width="53.88671875" style="1" customWidth="1"/>
    <col min="4343" max="4343" width="16.44140625" style="1" customWidth="1"/>
    <col min="4344" max="4354" width="9" style="1" hidden="1" customWidth="1"/>
    <col min="4355" max="4355" width="17.88671875" style="1" customWidth="1"/>
    <col min="4356" max="4597" width="8.88671875" style="1"/>
    <col min="4598" max="4598" width="53.88671875" style="1" customWidth="1"/>
    <col min="4599" max="4599" width="16.44140625" style="1" customWidth="1"/>
    <col min="4600" max="4610" width="9" style="1" hidden="1" customWidth="1"/>
    <col min="4611" max="4611" width="17.88671875" style="1" customWidth="1"/>
    <col min="4612" max="4853" width="8.88671875" style="1"/>
    <col min="4854" max="4854" width="53.88671875" style="1" customWidth="1"/>
    <col min="4855" max="4855" width="16.44140625" style="1" customWidth="1"/>
    <col min="4856" max="4866" width="9" style="1" hidden="1" customWidth="1"/>
    <col min="4867" max="4867" width="17.88671875" style="1" customWidth="1"/>
    <col min="4868" max="5109" width="8.88671875" style="1"/>
    <col min="5110" max="5110" width="53.88671875" style="1" customWidth="1"/>
    <col min="5111" max="5111" width="16.44140625" style="1" customWidth="1"/>
    <col min="5112" max="5122" width="9" style="1" hidden="1" customWidth="1"/>
    <col min="5123" max="5123" width="17.88671875" style="1" customWidth="1"/>
    <col min="5124" max="5365" width="8.88671875" style="1"/>
    <col min="5366" max="5366" width="53.88671875" style="1" customWidth="1"/>
    <col min="5367" max="5367" width="16.44140625" style="1" customWidth="1"/>
    <col min="5368" max="5378" width="9" style="1" hidden="1" customWidth="1"/>
    <col min="5379" max="5379" width="17.88671875" style="1" customWidth="1"/>
    <col min="5380" max="5621" width="8.88671875" style="1"/>
    <col min="5622" max="5622" width="53.88671875" style="1" customWidth="1"/>
    <col min="5623" max="5623" width="16.44140625" style="1" customWidth="1"/>
    <col min="5624" max="5634" width="9" style="1" hidden="1" customWidth="1"/>
    <col min="5635" max="5635" width="17.88671875" style="1" customWidth="1"/>
    <col min="5636" max="5877" width="8.88671875" style="1"/>
    <col min="5878" max="5878" width="53.88671875" style="1" customWidth="1"/>
    <col min="5879" max="5879" width="16.44140625" style="1" customWidth="1"/>
    <col min="5880" max="5890" width="9" style="1" hidden="1" customWidth="1"/>
    <col min="5891" max="5891" width="17.88671875" style="1" customWidth="1"/>
    <col min="5892" max="6133" width="8.88671875" style="1"/>
    <col min="6134" max="6134" width="53.88671875" style="1" customWidth="1"/>
    <col min="6135" max="6135" width="16.44140625" style="1" customWidth="1"/>
    <col min="6136" max="6146" width="9" style="1" hidden="1" customWidth="1"/>
    <col min="6147" max="6147" width="17.88671875" style="1" customWidth="1"/>
    <col min="6148" max="6389" width="8.88671875" style="1"/>
    <col min="6390" max="6390" width="53.88671875" style="1" customWidth="1"/>
    <col min="6391" max="6391" width="16.44140625" style="1" customWidth="1"/>
    <col min="6392" max="6402" width="9" style="1" hidden="1" customWidth="1"/>
    <col min="6403" max="6403" width="17.88671875" style="1" customWidth="1"/>
    <col min="6404" max="6645" width="8.88671875" style="1"/>
    <col min="6646" max="6646" width="53.88671875" style="1" customWidth="1"/>
    <col min="6647" max="6647" width="16.44140625" style="1" customWidth="1"/>
    <col min="6648" max="6658" width="9" style="1" hidden="1" customWidth="1"/>
    <col min="6659" max="6659" width="17.88671875" style="1" customWidth="1"/>
    <col min="6660" max="6901" width="8.88671875" style="1"/>
    <col min="6902" max="6902" width="53.88671875" style="1" customWidth="1"/>
    <col min="6903" max="6903" width="16.44140625" style="1" customWidth="1"/>
    <col min="6904" max="6914" width="9" style="1" hidden="1" customWidth="1"/>
    <col min="6915" max="6915" width="17.88671875" style="1" customWidth="1"/>
    <col min="6916" max="7157" width="8.88671875" style="1"/>
    <col min="7158" max="7158" width="53.88671875" style="1" customWidth="1"/>
    <col min="7159" max="7159" width="16.44140625" style="1" customWidth="1"/>
    <col min="7160" max="7170" width="9" style="1" hidden="1" customWidth="1"/>
    <col min="7171" max="7171" width="17.88671875" style="1" customWidth="1"/>
    <col min="7172" max="7413" width="8.88671875" style="1"/>
    <col min="7414" max="7414" width="53.88671875" style="1" customWidth="1"/>
    <col min="7415" max="7415" width="16.44140625" style="1" customWidth="1"/>
    <col min="7416" max="7426" width="9" style="1" hidden="1" customWidth="1"/>
    <col min="7427" max="7427" width="17.88671875" style="1" customWidth="1"/>
    <col min="7428" max="7669" width="8.88671875" style="1"/>
    <col min="7670" max="7670" width="53.88671875" style="1" customWidth="1"/>
    <col min="7671" max="7671" width="16.44140625" style="1" customWidth="1"/>
    <col min="7672" max="7682" width="9" style="1" hidden="1" customWidth="1"/>
    <col min="7683" max="7683" width="17.88671875" style="1" customWidth="1"/>
    <col min="7684" max="7925" width="8.88671875" style="1"/>
    <col min="7926" max="7926" width="53.88671875" style="1" customWidth="1"/>
    <col min="7927" max="7927" width="16.44140625" style="1" customWidth="1"/>
    <col min="7928" max="7938" width="9" style="1" hidden="1" customWidth="1"/>
    <col min="7939" max="7939" width="17.88671875" style="1" customWidth="1"/>
    <col min="7940" max="8181" width="8.88671875" style="1"/>
    <col min="8182" max="8182" width="53.88671875" style="1" customWidth="1"/>
    <col min="8183" max="8183" width="16.44140625" style="1" customWidth="1"/>
    <col min="8184" max="8194" width="9" style="1" hidden="1" customWidth="1"/>
    <col min="8195" max="8195" width="17.88671875" style="1" customWidth="1"/>
    <col min="8196" max="8437" width="8.88671875" style="1"/>
    <col min="8438" max="8438" width="53.88671875" style="1" customWidth="1"/>
    <col min="8439" max="8439" width="16.44140625" style="1" customWidth="1"/>
    <col min="8440" max="8450" width="9" style="1" hidden="1" customWidth="1"/>
    <col min="8451" max="8451" width="17.88671875" style="1" customWidth="1"/>
    <col min="8452" max="8693" width="8.88671875" style="1"/>
    <col min="8694" max="8694" width="53.88671875" style="1" customWidth="1"/>
    <col min="8695" max="8695" width="16.44140625" style="1" customWidth="1"/>
    <col min="8696" max="8706" width="9" style="1" hidden="1" customWidth="1"/>
    <col min="8707" max="8707" width="17.88671875" style="1" customWidth="1"/>
    <col min="8708" max="8949" width="8.88671875" style="1"/>
    <col min="8950" max="8950" width="53.88671875" style="1" customWidth="1"/>
    <col min="8951" max="8951" width="16.44140625" style="1" customWidth="1"/>
    <col min="8952" max="8962" width="9" style="1" hidden="1" customWidth="1"/>
    <col min="8963" max="8963" width="17.88671875" style="1" customWidth="1"/>
    <col min="8964" max="9205" width="8.88671875" style="1"/>
    <col min="9206" max="9206" width="53.88671875" style="1" customWidth="1"/>
    <col min="9207" max="9207" width="16.44140625" style="1" customWidth="1"/>
    <col min="9208" max="9218" width="9" style="1" hidden="1" customWidth="1"/>
    <col min="9219" max="9219" width="17.88671875" style="1" customWidth="1"/>
    <col min="9220" max="9461" width="8.88671875" style="1"/>
    <col min="9462" max="9462" width="53.88671875" style="1" customWidth="1"/>
    <col min="9463" max="9463" width="16.44140625" style="1" customWidth="1"/>
    <col min="9464" max="9474" width="9" style="1" hidden="1" customWidth="1"/>
    <col min="9475" max="9475" width="17.88671875" style="1" customWidth="1"/>
    <col min="9476" max="9717" width="8.88671875" style="1"/>
    <col min="9718" max="9718" width="53.88671875" style="1" customWidth="1"/>
    <col min="9719" max="9719" width="16.44140625" style="1" customWidth="1"/>
    <col min="9720" max="9730" width="9" style="1" hidden="1" customWidth="1"/>
    <col min="9731" max="9731" width="17.88671875" style="1" customWidth="1"/>
    <col min="9732" max="9973" width="8.88671875" style="1"/>
    <col min="9974" max="9974" width="53.88671875" style="1" customWidth="1"/>
    <col min="9975" max="9975" width="16.44140625" style="1" customWidth="1"/>
    <col min="9976" max="9986" width="9" style="1" hidden="1" customWidth="1"/>
    <col min="9987" max="9987" width="17.88671875" style="1" customWidth="1"/>
    <col min="9988" max="10229" width="8.88671875" style="1"/>
    <col min="10230" max="10230" width="53.88671875" style="1" customWidth="1"/>
    <col min="10231" max="10231" width="16.44140625" style="1" customWidth="1"/>
    <col min="10232" max="10242" width="9" style="1" hidden="1" customWidth="1"/>
    <col min="10243" max="10243" width="17.88671875" style="1" customWidth="1"/>
    <col min="10244" max="10485" width="8.88671875" style="1"/>
    <col min="10486" max="10486" width="53.88671875" style="1" customWidth="1"/>
    <col min="10487" max="10487" width="16.44140625" style="1" customWidth="1"/>
    <col min="10488" max="10498" width="9" style="1" hidden="1" customWidth="1"/>
    <col min="10499" max="10499" width="17.88671875" style="1" customWidth="1"/>
    <col min="10500" max="10741" width="8.88671875" style="1"/>
    <col min="10742" max="10742" width="53.88671875" style="1" customWidth="1"/>
    <col min="10743" max="10743" width="16.44140625" style="1" customWidth="1"/>
    <col min="10744" max="10754" width="9" style="1" hidden="1" customWidth="1"/>
    <col min="10755" max="10755" width="17.88671875" style="1" customWidth="1"/>
    <col min="10756" max="10997" width="8.88671875" style="1"/>
    <col min="10998" max="10998" width="53.88671875" style="1" customWidth="1"/>
    <col min="10999" max="10999" width="16.44140625" style="1" customWidth="1"/>
    <col min="11000" max="11010" width="9" style="1" hidden="1" customWidth="1"/>
    <col min="11011" max="11011" width="17.88671875" style="1" customWidth="1"/>
    <col min="11012" max="11253" width="8.88671875" style="1"/>
    <col min="11254" max="11254" width="53.88671875" style="1" customWidth="1"/>
    <col min="11255" max="11255" width="16.44140625" style="1" customWidth="1"/>
    <col min="11256" max="11266" width="9" style="1" hidden="1" customWidth="1"/>
    <col min="11267" max="11267" width="17.88671875" style="1" customWidth="1"/>
    <col min="11268" max="11509" width="8.88671875" style="1"/>
    <col min="11510" max="11510" width="53.88671875" style="1" customWidth="1"/>
    <col min="11511" max="11511" width="16.44140625" style="1" customWidth="1"/>
    <col min="11512" max="11522" width="9" style="1" hidden="1" customWidth="1"/>
    <col min="11523" max="11523" width="17.88671875" style="1" customWidth="1"/>
    <col min="11524" max="11765" width="8.88671875" style="1"/>
    <col min="11766" max="11766" width="53.88671875" style="1" customWidth="1"/>
    <col min="11767" max="11767" width="16.44140625" style="1" customWidth="1"/>
    <col min="11768" max="11778" width="9" style="1" hidden="1" customWidth="1"/>
    <col min="11779" max="11779" width="17.88671875" style="1" customWidth="1"/>
    <col min="11780" max="12021" width="8.88671875" style="1"/>
    <col min="12022" max="12022" width="53.88671875" style="1" customWidth="1"/>
    <col min="12023" max="12023" width="16.44140625" style="1" customWidth="1"/>
    <col min="12024" max="12034" width="9" style="1" hidden="1" customWidth="1"/>
    <col min="12035" max="12035" width="17.88671875" style="1" customWidth="1"/>
    <col min="12036" max="12277" width="8.88671875" style="1"/>
    <col min="12278" max="12278" width="53.88671875" style="1" customWidth="1"/>
    <col min="12279" max="12279" width="16.44140625" style="1" customWidth="1"/>
    <col min="12280" max="12290" width="9" style="1" hidden="1" customWidth="1"/>
    <col min="12291" max="12291" width="17.88671875" style="1" customWidth="1"/>
    <col min="12292" max="12533" width="8.88671875" style="1"/>
    <col min="12534" max="12534" width="53.88671875" style="1" customWidth="1"/>
    <col min="12535" max="12535" width="16.44140625" style="1" customWidth="1"/>
    <col min="12536" max="12546" width="9" style="1" hidden="1" customWidth="1"/>
    <col min="12547" max="12547" width="17.88671875" style="1" customWidth="1"/>
    <col min="12548" max="12789" width="8.88671875" style="1"/>
    <col min="12790" max="12790" width="53.88671875" style="1" customWidth="1"/>
    <col min="12791" max="12791" width="16.44140625" style="1" customWidth="1"/>
    <col min="12792" max="12802" width="9" style="1" hidden="1" customWidth="1"/>
    <col min="12803" max="12803" width="17.88671875" style="1" customWidth="1"/>
    <col min="12804" max="13045" width="8.88671875" style="1"/>
    <col min="13046" max="13046" width="53.88671875" style="1" customWidth="1"/>
    <col min="13047" max="13047" width="16.44140625" style="1" customWidth="1"/>
    <col min="13048" max="13058" width="9" style="1" hidden="1" customWidth="1"/>
    <col min="13059" max="13059" width="17.88671875" style="1" customWidth="1"/>
    <col min="13060" max="13301" width="8.88671875" style="1"/>
    <col min="13302" max="13302" width="53.88671875" style="1" customWidth="1"/>
    <col min="13303" max="13303" width="16.44140625" style="1" customWidth="1"/>
    <col min="13304" max="13314" width="9" style="1" hidden="1" customWidth="1"/>
    <col min="13315" max="13315" width="17.88671875" style="1" customWidth="1"/>
    <col min="13316" max="13557" width="8.88671875" style="1"/>
    <col min="13558" max="13558" width="53.88671875" style="1" customWidth="1"/>
    <col min="13559" max="13559" width="16.44140625" style="1" customWidth="1"/>
    <col min="13560" max="13570" width="9" style="1" hidden="1" customWidth="1"/>
    <col min="13571" max="13571" width="17.88671875" style="1" customWidth="1"/>
    <col min="13572" max="13813" width="8.88671875" style="1"/>
    <col min="13814" max="13814" width="53.88671875" style="1" customWidth="1"/>
    <col min="13815" max="13815" width="16.44140625" style="1" customWidth="1"/>
    <col min="13816" max="13826" width="9" style="1" hidden="1" customWidth="1"/>
    <col min="13827" max="13827" width="17.88671875" style="1" customWidth="1"/>
    <col min="13828" max="14069" width="8.88671875" style="1"/>
    <col min="14070" max="14070" width="53.88671875" style="1" customWidth="1"/>
    <col min="14071" max="14071" width="16.44140625" style="1" customWidth="1"/>
    <col min="14072" max="14082" width="9" style="1" hidden="1" customWidth="1"/>
    <col min="14083" max="14083" width="17.88671875" style="1" customWidth="1"/>
    <col min="14084" max="14325" width="8.88671875" style="1"/>
    <col min="14326" max="14326" width="53.88671875" style="1" customWidth="1"/>
    <col min="14327" max="14327" width="16.44140625" style="1" customWidth="1"/>
    <col min="14328" max="14338" width="9" style="1" hidden="1" customWidth="1"/>
    <col min="14339" max="14339" width="17.88671875" style="1" customWidth="1"/>
    <col min="14340" max="14581" width="8.88671875" style="1"/>
    <col min="14582" max="14582" width="53.88671875" style="1" customWidth="1"/>
    <col min="14583" max="14583" width="16.44140625" style="1" customWidth="1"/>
    <col min="14584" max="14594" width="9" style="1" hidden="1" customWidth="1"/>
    <col min="14595" max="14595" width="17.88671875" style="1" customWidth="1"/>
    <col min="14596" max="14837" width="8.88671875" style="1"/>
    <col min="14838" max="14838" width="53.88671875" style="1" customWidth="1"/>
    <col min="14839" max="14839" width="16.44140625" style="1" customWidth="1"/>
    <col min="14840" max="14850" width="9" style="1" hidden="1" customWidth="1"/>
    <col min="14851" max="14851" width="17.88671875" style="1" customWidth="1"/>
    <col min="14852" max="15093" width="8.88671875" style="1"/>
    <col min="15094" max="15094" width="53.88671875" style="1" customWidth="1"/>
    <col min="15095" max="15095" width="16.44140625" style="1" customWidth="1"/>
    <col min="15096" max="15106" width="9" style="1" hidden="1" customWidth="1"/>
    <col min="15107" max="15107" width="17.88671875" style="1" customWidth="1"/>
    <col min="15108" max="15349" width="8.88671875" style="1"/>
    <col min="15350" max="15350" width="53.88671875" style="1" customWidth="1"/>
    <col min="15351" max="15351" width="16.44140625" style="1" customWidth="1"/>
    <col min="15352" max="15362" width="9" style="1" hidden="1" customWidth="1"/>
    <col min="15363" max="15363" width="17.88671875" style="1" customWidth="1"/>
    <col min="15364" max="15605" width="8.88671875" style="1"/>
    <col min="15606" max="15606" width="53.88671875" style="1" customWidth="1"/>
    <col min="15607" max="15607" width="16.44140625" style="1" customWidth="1"/>
    <col min="15608" max="15618" width="9" style="1" hidden="1" customWidth="1"/>
    <col min="15619" max="15619" width="17.88671875" style="1" customWidth="1"/>
    <col min="15620" max="15861" width="8.88671875" style="1"/>
    <col min="15862" max="15862" width="53.88671875" style="1" customWidth="1"/>
    <col min="15863" max="15863" width="16.44140625" style="1" customWidth="1"/>
    <col min="15864" max="15874" width="9" style="1" hidden="1" customWidth="1"/>
    <col min="15875" max="15875" width="17.88671875" style="1" customWidth="1"/>
    <col min="15876" max="16117" width="8.88671875" style="1"/>
    <col min="16118" max="16118" width="53.88671875" style="1" customWidth="1"/>
    <col min="16119" max="16119" width="16.44140625" style="1" customWidth="1"/>
    <col min="16120" max="16130" width="9" style="1" hidden="1" customWidth="1"/>
    <col min="16131" max="16131" width="17.88671875" style="1" customWidth="1"/>
    <col min="16132" max="16373" width="8.88671875" style="1"/>
    <col min="16374" max="16384" width="8.88671875" style="1" customWidth="1"/>
  </cols>
  <sheetData>
    <row r="1" spans="1:3" ht="30" customHeight="1" x14ac:dyDescent="0.5">
      <c r="A1" s="16" t="s">
        <v>73</v>
      </c>
      <c r="B1" s="16"/>
      <c r="C1" s="17"/>
    </row>
    <row r="2" spans="1:3" ht="16.5" customHeight="1" x14ac:dyDescent="0.25">
      <c r="A2" s="6" t="s">
        <v>74</v>
      </c>
      <c r="B2" s="7" t="s">
        <v>75</v>
      </c>
      <c r="C2" s="18" t="s">
        <v>2</v>
      </c>
    </row>
    <row r="3" spans="1:3" ht="27" customHeight="1" x14ac:dyDescent="0.3">
      <c r="A3" s="9" t="s">
        <v>76</v>
      </c>
      <c r="B3" s="19" t="s">
        <v>77</v>
      </c>
      <c r="C3" s="19" t="s">
        <v>78</v>
      </c>
    </row>
    <row r="4" spans="1:3" ht="25.5" customHeight="1" x14ac:dyDescent="0.25">
      <c r="A4" s="20" t="s">
        <v>79</v>
      </c>
      <c r="B4" s="21">
        <v>0</v>
      </c>
      <c r="C4" s="21">
        <f>SUM(B4:B4)</f>
        <v>0</v>
      </c>
    </row>
    <row r="5" spans="1:3" ht="25.5" customHeight="1" x14ac:dyDescent="0.25">
      <c r="A5" s="20" t="s">
        <v>80</v>
      </c>
      <c r="B5" s="21">
        <v>0</v>
      </c>
      <c r="C5" s="21">
        <f>SUM(B5:B5)</f>
        <v>0</v>
      </c>
    </row>
    <row r="6" spans="1:3" ht="25.5" customHeight="1" x14ac:dyDescent="0.25">
      <c r="A6" s="20" t="s">
        <v>81</v>
      </c>
      <c r="B6" s="21">
        <v>0</v>
      </c>
      <c r="C6" s="21">
        <f>SUM(B6:B6)</f>
        <v>0</v>
      </c>
    </row>
    <row r="7" spans="1:3" ht="25.5" customHeight="1" x14ac:dyDescent="0.25">
      <c r="A7" s="20" t="s">
        <v>82</v>
      </c>
      <c r="B7" s="21">
        <v>74020.800000000003</v>
      </c>
      <c r="C7" s="21">
        <v>657111.24</v>
      </c>
    </row>
    <row r="8" spans="1:3" ht="25.5" customHeight="1" x14ac:dyDescent="0.25">
      <c r="A8" s="20" t="s">
        <v>83</v>
      </c>
      <c r="B8" s="22">
        <v>2483752.42</v>
      </c>
      <c r="C8" s="22">
        <v>1538474.07</v>
      </c>
    </row>
    <row r="9" spans="1:3" ht="25.5" customHeight="1" x14ac:dyDescent="0.25">
      <c r="A9" s="20" t="s">
        <v>84</v>
      </c>
      <c r="B9" s="22">
        <v>6066566.8399999999</v>
      </c>
      <c r="C9" s="22">
        <v>4502344.47</v>
      </c>
    </row>
    <row r="10" spans="1:3" ht="25.5" customHeight="1" x14ac:dyDescent="0.25">
      <c r="A10" s="20" t="s">
        <v>85</v>
      </c>
      <c r="B10" s="22">
        <v>-567.88</v>
      </c>
      <c r="C10" s="22">
        <v>2127.88</v>
      </c>
    </row>
    <row r="11" spans="1:3" ht="25.5" customHeight="1" x14ac:dyDescent="0.25">
      <c r="A11" s="20" t="s">
        <v>86</v>
      </c>
      <c r="B11" s="21">
        <v>0</v>
      </c>
      <c r="C11" s="21">
        <f>SUM(B11:B11)</f>
        <v>0</v>
      </c>
    </row>
    <row r="12" spans="1:3" ht="25.5" customHeight="1" x14ac:dyDescent="0.25">
      <c r="A12" s="20" t="s">
        <v>87</v>
      </c>
      <c r="B12" s="21">
        <v>0</v>
      </c>
      <c r="C12" s="21">
        <f>SUM(B12:B12)</f>
        <v>0</v>
      </c>
    </row>
    <row r="13" spans="1:3" ht="25.5" customHeight="1" x14ac:dyDescent="0.25">
      <c r="A13" s="20" t="s">
        <v>88</v>
      </c>
      <c r="B13" s="21">
        <v>0</v>
      </c>
      <c r="C13" s="21">
        <f>SUM(B13:B13)</f>
        <v>0</v>
      </c>
    </row>
    <row r="14" spans="1:3" ht="25.5" customHeight="1" x14ac:dyDescent="0.25">
      <c r="A14" s="20" t="s">
        <v>89</v>
      </c>
      <c r="B14" s="21">
        <v>0</v>
      </c>
      <c r="C14" s="21">
        <f>SUM(B14:B14)</f>
        <v>0</v>
      </c>
    </row>
    <row r="15" spans="1:3" ht="25.5" customHeight="1" x14ac:dyDescent="0.25">
      <c r="A15" s="20" t="s">
        <v>90</v>
      </c>
      <c r="B15" s="21">
        <v>0</v>
      </c>
      <c r="C15" s="21">
        <f>SUM(B15:B15)</f>
        <v>0</v>
      </c>
    </row>
    <row r="16" spans="1:3" ht="25.5" customHeight="1" x14ac:dyDescent="0.25">
      <c r="A16" s="20" t="s">
        <v>91</v>
      </c>
      <c r="B16" s="22">
        <v>11400.97</v>
      </c>
      <c r="C16" s="22">
        <v>10870.73</v>
      </c>
    </row>
    <row r="17" spans="1:3" ht="25.5" customHeight="1" x14ac:dyDescent="0.25">
      <c r="A17" s="20" t="s">
        <v>92</v>
      </c>
      <c r="B17" s="22">
        <v>-8612371.2100000009</v>
      </c>
      <c r="C17" s="22">
        <f>C4-C5-C6-C7-C8-C9-C10+C16</f>
        <v>-6689186.9299999988</v>
      </c>
    </row>
    <row r="18" spans="1:3" ht="25.5" customHeight="1" x14ac:dyDescent="0.25">
      <c r="A18" s="20" t="s">
        <v>93</v>
      </c>
      <c r="B18" s="22">
        <v>0</v>
      </c>
      <c r="C18" s="22">
        <f>SUM(B18:B18)</f>
        <v>0</v>
      </c>
    </row>
    <row r="19" spans="1:3" ht="25.5" customHeight="1" x14ac:dyDescent="0.25">
      <c r="A19" s="20" t="s">
        <v>94</v>
      </c>
      <c r="B19" s="22"/>
      <c r="C19" s="22">
        <v>153.96</v>
      </c>
    </row>
    <row r="20" spans="1:3" ht="25.5" customHeight="1" x14ac:dyDescent="0.25">
      <c r="A20" s="20" t="s">
        <v>95</v>
      </c>
      <c r="B20" s="22">
        <v>0</v>
      </c>
      <c r="C20" s="22">
        <f>SUM(B20:B20)</f>
        <v>0</v>
      </c>
    </row>
    <row r="21" spans="1:3" ht="25.5" customHeight="1" x14ac:dyDescent="0.25">
      <c r="A21" s="20" t="s">
        <v>96</v>
      </c>
      <c r="B21" s="22">
        <v>-8612371.2100000009</v>
      </c>
      <c r="C21" s="22">
        <f>C17-C19</f>
        <v>-6689340.8899999987</v>
      </c>
    </row>
    <row r="22" spans="1:3" ht="25.5" customHeight="1" x14ac:dyDescent="0.25">
      <c r="A22" s="20" t="s">
        <v>97</v>
      </c>
      <c r="B22" s="22"/>
      <c r="C22" s="22"/>
    </row>
    <row r="23" spans="1:3" ht="25.5" customHeight="1" x14ac:dyDescent="0.25">
      <c r="A23" s="20" t="s">
        <v>98</v>
      </c>
      <c r="B23" s="22">
        <v>-8612371.2100000009</v>
      </c>
      <c r="C23" s="22">
        <f>C21-C22</f>
        <v>-6689340.8899999987</v>
      </c>
    </row>
    <row r="24" spans="1:3" ht="25.5" customHeight="1" x14ac:dyDescent="0.25">
      <c r="A24" s="20" t="s">
        <v>99</v>
      </c>
      <c r="B24" s="23"/>
      <c r="C24" s="23"/>
    </row>
    <row r="25" spans="1:3" ht="25.5" customHeight="1" x14ac:dyDescent="0.25">
      <c r="A25" s="20" t="s">
        <v>100</v>
      </c>
      <c r="B25" s="23"/>
      <c r="C25" s="23"/>
    </row>
    <row r="26" spans="1:3" ht="25.5" customHeight="1" x14ac:dyDescent="0.25">
      <c r="A26" s="20" t="s">
        <v>101</v>
      </c>
      <c r="B26" s="23"/>
      <c r="C26" s="23"/>
    </row>
    <row r="27" spans="1:3" ht="25.5" customHeight="1" x14ac:dyDescent="0.25">
      <c r="A27" s="24"/>
      <c r="B27" s="24"/>
      <c r="C27" s="25"/>
    </row>
  </sheetData>
  <phoneticPr fontId="14" type="noConversion"/>
  <pageMargins left="0.39370078740157499" right="0.39370078740157499" top="0.39370078740157499" bottom="0.39370078740157499" header="0.51180999999999999" footer="0.51180999999999999"/>
  <pageSetup paperSize="9" orientation="portrait" errors="blank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WVI42"/>
  <sheetViews>
    <sheetView tabSelected="1" workbookViewId="0">
      <pane xSplit="1" ySplit="4" topLeftCell="B29" activePane="bottomRight" state="frozen"/>
      <selection pane="topRight"/>
      <selection pane="bottomLeft"/>
      <selection pane="bottomRight" activeCell="M38" sqref="M38"/>
    </sheetView>
  </sheetViews>
  <sheetFormatPr defaultColWidth="9" defaultRowHeight="14.25" customHeight="1" x14ac:dyDescent="0.25"/>
  <cols>
    <col min="1" max="1" width="42.5546875" style="1" customWidth="1"/>
    <col min="2" max="2" width="17.6640625" style="1" customWidth="1"/>
    <col min="3" max="3" width="19.44140625" style="2" customWidth="1"/>
    <col min="4" max="242" width="8.88671875" style="1"/>
    <col min="243" max="243" width="55.6640625" style="1" customWidth="1"/>
    <col min="244" max="245" width="22.44140625" style="1" customWidth="1"/>
    <col min="246" max="246" width="18.5546875" style="1" customWidth="1"/>
    <col min="247" max="257" width="9" style="1" hidden="1" customWidth="1"/>
    <col min="258" max="258" width="18.5546875" style="1" customWidth="1"/>
    <col min="259" max="259" width="8.88671875" style="1"/>
    <col min="260" max="260" width="19.109375" style="1" customWidth="1"/>
    <col min="261" max="498" width="8.88671875" style="1"/>
    <col min="499" max="499" width="55.6640625" style="1" customWidth="1"/>
    <col min="500" max="501" width="22.44140625" style="1" customWidth="1"/>
    <col min="502" max="502" width="18.5546875" style="1" customWidth="1"/>
    <col min="503" max="513" width="9" style="1" hidden="1" customWidth="1"/>
    <col min="514" max="514" width="18.5546875" style="1" customWidth="1"/>
    <col min="515" max="515" width="8.88671875" style="1"/>
    <col min="516" max="516" width="19.109375" style="1" customWidth="1"/>
    <col min="517" max="754" width="8.88671875" style="1"/>
    <col min="755" max="755" width="55.6640625" style="1" customWidth="1"/>
    <col min="756" max="757" width="22.44140625" style="1" customWidth="1"/>
    <col min="758" max="758" width="18.5546875" style="1" customWidth="1"/>
    <col min="759" max="769" width="9" style="1" hidden="1" customWidth="1"/>
    <col min="770" max="770" width="18.5546875" style="1" customWidth="1"/>
    <col min="771" max="771" width="8.88671875" style="1"/>
    <col min="772" max="772" width="19.109375" style="1" customWidth="1"/>
    <col min="773" max="1010" width="8.88671875" style="1"/>
    <col min="1011" max="1011" width="55.6640625" style="1" customWidth="1"/>
    <col min="1012" max="1013" width="22.44140625" style="1" customWidth="1"/>
    <col min="1014" max="1014" width="18.5546875" style="1" customWidth="1"/>
    <col min="1015" max="1025" width="9" style="1" hidden="1" customWidth="1"/>
    <col min="1026" max="1026" width="18.5546875" style="1" customWidth="1"/>
    <col min="1027" max="1027" width="8.88671875" style="1"/>
    <col min="1028" max="1028" width="19.109375" style="1" customWidth="1"/>
    <col min="1029" max="1266" width="8.88671875" style="1"/>
    <col min="1267" max="1267" width="55.6640625" style="1" customWidth="1"/>
    <col min="1268" max="1269" width="22.44140625" style="1" customWidth="1"/>
    <col min="1270" max="1270" width="18.5546875" style="1" customWidth="1"/>
    <col min="1271" max="1281" width="9" style="1" hidden="1" customWidth="1"/>
    <col min="1282" max="1282" width="18.5546875" style="1" customWidth="1"/>
    <col min="1283" max="1283" width="8.88671875" style="1"/>
    <col min="1284" max="1284" width="19.109375" style="1" customWidth="1"/>
    <col min="1285" max="1522" width="8.88671875" style="1"/>
    <col min="1523" max="1523" width="55.6640625" style="1" customWidth="1"/>
    <col min="1524" max="1525" width="22.44140625" style="1" customWidth="1"/>
    <col min="1526" max="1526" width="18.5546875" style="1" customWidth="1"/>
    <col min="1527" max="1537" width="9" style="1" hidden="1" customWidth="1"/>
    <col min="1538" max="1538" width="18.5546875" style="1" customWidth="1"/>
    <col min="1539" max="1539" width="8.88671875" style="1"/>
    <col min="1540" max="1540" width="19.109375" style="1" customWidth="1"/>
    <col min="1541" max="1778" width="8.88671875" style="1"/>
    <col min="1779" max="1779" width="55.6640625" style="1" customWidth="1"/>
    <col min="1780" max="1781" width="22.44140625" style="1" customWidth="1"/>
    <col min="1782" max="1782" width="18.5546875" style="1" customWidth="1"/>
    <col min="1783" max="1793" width="9" style="1" hidden="1" customWidth="1"/>
    <col min="1794" max="1794" width="18.5546875" style="1" customWidth="1"/>
    <col min="1795" max="1795" width="8.88671875" style="1"/>
    <col min="1796" max="1796" width="19.109375" style="1" customWidth="1"/>
    <col min="1797" max="2034" width="8.88671875" style="1"/>
    <col min="2035" max="2035" width="55.6640625" style="1" customWidth="1"/>
    <col min="2036" max="2037" width="22.44140625" style="1" customWidth="1"/>
    <col min="2038" max="2038" width="18.5546875" style="1" customWidth="1"/>
    <col min="2039" max="2049" width="9" style="1" hidden="1" customWidth="1"/>
    <col min="2050" max="2050" width="18.5546875" style="1" customWidth="1"/>
    <col min="2051" max="2051" width="8.88671875" style="1"/>
    <col min="2052" max="2052" width="19.109375" style="1" customWidth="1"/>
    <col min="2053" max="2290" width="8.88671875" style="1"/>
    <col min="2291" max="2291" width="55.6640625" style="1" customWidth="1"/>
    <col min="2292" max="2293" width="22.44140625" style="1" customWidth="1"/>
    <col min="2294" max="2294" width="18.5546875" style="1" customWidth="1"/>
    <col min="2295" max="2305" width="9" style="1" hidden="1" customWidth="1"/>
    <col min="2306" max="2306" width="18.5546875" style="1" customWidth="1"/>
    <col min="2307" max="2307" width="8.88671875" style="1"/>
    <col min="2308" max="2308" width="19.109375" style="1" customWidth="1"/>
    <col min="2309" max="2546" width="8.88671875" style="1"/>
    <col min="2547" max="2547" width="55.6640625" style="1" customWidth="1"/>
    <col min="2548" max="2549" width="22.44140625" style="1" customWidth="1"/>
    <col min="2550" max="2550" width="18.5546875" style="1" customWidth="1"/>
    <col min="2551" max="2561" width="9" style="1" hidden="1" customWidth="1"/>
    <col min="2562" max="2562" width="18.5546875" style="1" customWidth="1"/>
    <col min="2563" max="2563" width="8.88671875" style="1"/>
    <col min="2564" max="2564" width="19.109375" style="1" customWidth="1"/>
    <col min="2565" max="2802" width="8.88671875" style="1"/>
    <col min="2803" max="2803" width="55.6640625" style="1" customWidth="1"/>
    <col min="2804" max="2805" width="22.44140625" style="1" customWidth="1"/>
    <col min="2806" max="2806" width="18.5546875" style="1" customWidth="1"/>
    <col min="2807" max="2817" width="9" style="1" hidden="1" customWidth="1"/>
    <col min="2818" max="2818" width="18.5546875" style="1" customWidth="1"/>
    <col min="2819" max="2819" width="8.88671875" style="1"/>
    <col min="2820" max="2820" width="19.109375" style="1" customWidth="1"/>
    <col min="2821" max="3058" width="8.88671875" style="1"/>
    <col min="3059" max="3059" width="55.6640625" style="1" customWidth="1"/>
    <col min="3060" max="3061" width="22.44140625" style="1" customWidth="1"/>
    <col min="3062" max="3062" width="18.5546875" style="1" customWidth="1"/>
    <col min="3063" max="3073" width="9" style="1" hidden="1" customWidth="1"/>
    <col min="3074" max="3074" width="18.5546875" style="1" customWidth="1"/>
    <col min="3075" max="3075" width="8.88671875" style="1"/>
    <col min="3076" max="3076" width="19.109375" style="1" customWidth="1"/>
    <col min="3077" max="3314" width="8.88671875" style="1"/>
    <col min="3315" max="3315" width="55.6640625" style="1" customWidth="1"/>
    <col min="3316" max="3317" width="22.44140625" style="1" customWidth="1"/>
    <col min="3318" max="3318" width="18.5546875" style="1" customWidth="1"/>
    <col min="3319" max="3329" width="9" style="1" hidden="1" customWidth="1"/>
    <col min="3330" max="3330" width="18.5546875" style="1" customWidth="1"/>
    <col min="3331" max="3331" width="8.88671875" style="1"/>
    <col min="3332" max="3332" width="19.109375" style="1" customWidth="1"/>
    <col min="3333" max="3570" width="8.88671875" style="1"/>
    <col min="3571" max="3571" width="55.6640625" style="1" customWidth="1"/>
    <col min="3572" max="3573" width="22.44140625" style="1" customWidth="1"/>
    <col min="3574" max="3574" width="18.5546875" style="1" customWidth="1"/>
    <col min="3575" max="3585" width="9" style="1" hidden="1" customWidth="1"/>
    <col min="3586" max="3586" width="18.5546875" style="1" customWidth="1"/>
    <col min="3587" max="3587" width="8.88671875" style="1"/>
    <col min="3588" max="3588" width="19.109375" style="1" customWidth="1"/>
    <col min="3589" max="3826" width="8.88671875" style="1"/>
    <col min="3827" max="3827" width="55.6640625" style="1" customWidth="1"/>
    <col min="3828" max="3829" width="22.44140625" style="1" customWidth="1"/>
    <col min="3830" max="3830" width="18.5546875" style="1" customWidth="1"/>
    <col min="3831" max="3841" width="9" style="1" hidden="1" customWidth="1"/>
    <col min="3842" max="3842" width="18.5546875" style="1" customWidth="1"/>
    <col min="3843" max="3843" width="8.88671875" style="1"/>
    <col min="3844" max="3844" width="19.109375" style="1" customWidth="1"/>
    <col min="3845" max="4082" width="8.88671875" style="1"/>
    <col min="4083" max="4083" width="55.6640625" style="1" customWidth="1"/>
    <col min="4084" max="4085" width="22.44140625" style="1" customWidth="1"/>
    <col min="4086" max="4086" width="18.5546875" style="1" customWidth="1"/>
    <col min="4087" max="4097" width="9" style="1" hidden="1" customWidth="1"/>
    <col min="4098" max="4098" width="18.5546875" style="1" customWidth="1"/>
    <col min="4099" max="4099" width="8.88671875" style="1"/>
    <col min="4100" max="4100" width="19.109375" style="1" customWidth="1"/>
    <col min="4101" max="4338" width="8.88671875" style="1"/>
    <col min="4339" max="4339" width="55.6640625" style="1" customWidth="1"/>
    <col min="4340" max="4341" width="22.44140625" style="1" customWidth="1"/>
    <col min="4342" max="4342" width="18.5546875" style="1" customWidth="1"/>
    <col min="4343" max="4353" width="9" style="1" hidden="1" customWidth="1"/>
    <col min="4354" max="4354" width="18.5546875" style="1" customWidth="1"/>
    <col min="4355" max="4355" width="8.88671875" style="1"/>
    <col min="4356" max="4356" width="19.109375" style="1" customWidth="1"/>
    <col min="4357" max="4594" width="8.88671875" style="1"/>
    <col min="4595" max="4595" width="55.6640625" style="1" customWidth="1"/>
    <col min="4596" max="4597" width="22.44140625" style="1" customWidth="1"/>
    <col min="4598" max="4598" width="18.5546875" style="1" customWidth="1"/>
    <col min="4599" max="4609" width="9" style="1" hidden="1" customWidth="1"/>
    <col min="4610" max="4610" width="18.5546875" style="1" customWidth="1"/>
    <col min="4611" max="4611" width="8.88671875" style="1"/>
    <col min="4612" max="4612" width="19.109375" style="1" customWidth="1"/>
    <col min="4613" max="4850" width="8.88671875" style="1"/>
    <col min="4851" max="4851" width="55.6640625" style="1" customWidth="1"/>
    <col min="4852" max="4853" width="22.44140625" style="1" customWidth="1"/>
    <col min="4854" max="4854" width="18.5546875" style="1" customWidth="1"/>
    <col min="4855" max="4865" width="9" style="1" hidden="1" customWidth="1"/>
    <col min="4866" max="4866" width="18.5546875" style="1" customWidth="1"/>
    <col min="4867" max="4867" width="8.88671875" style="1"/>
    <col min="4868" max="4868" width="19.109375" style="1" customWidth="1"/>
    <col min="4869" max="5106" width="8.88671875" style="1"/>
    <col min="5107" max="5107" width="55.6640625" style="1" customWidth="1"/>
    <col min="5108" max="5109" width="22.44140625" style="1" customWidth="1"/>
    <col min="5110" max="5110" width="18.5546875" style="1" customWidth="1"/>
    <col min="5111" max="5121" width="9" style="1" hidden="1" customWidth="1"/>
    <col min="5122" max="5122" width="18.5546875" style="1" customWidth="1"/>
    <col min="5123" max="5123" width="8.88671875" style="1"/>
    <col min="5124" max="5124" width="19.109375" style="1" customWidth="1"/>
    <col min="5125" max="5362" width="8.88671875" style="1"/>
    <col min="5363" max="5363" width="55.6640625" style="1" customWidth="1"/>
    <col min="5364" max="5365" width="22.44140625" style="1" customWidth="1"/>
    <col min="5366" max="5366" width="18.5546875" style="1" customWidth="1"/>
    <col min="5367" max="5377" width="9" style="1" hidden="1" customWidth="1"/>
    <col min="5378" max="5378" width="18.5546875" style="1" customWidth="1"/>
    <col min="5379" max="5379" width="8.88671875" style="1"/>
    <col min="5380" max="5380" width="19.109375" style="1" customWidth="1"/>
    <col min="5381" max="5618" width="8.88671875" style="1"/>
    <col min="5619" max="5619" width="55.6640625" style="1" customWidth="1"/>
    <col min="5620" max="5621" width="22.44140625" style="1" customWidth="1"/>
    <col min="5622" max="5622" width="18.5546875" style="1" customWidth="1"/>
    <col min="5623" max="5633" width="9" style="1" hidden="1" customWidth="1"/>
    <col min="5634" max="5634" width="18.5546875" style="1" customWidth="1"/>
    <col min="5635" max="5635" width="8.88671875" style="1"/>
    <col min="5636" max="5636" width="19.109375" style="1" customWidth="1"/>
    <col min="5637" max="5874" width="8.88671875" style="1"/>
    <col min="5875" max="5875" width="55.6640625" style="1" customWidth="1"/>
    <col min="5876" max="5877" width="22.44140625" style="1" customWidth="1"/>
    <col min="5878" max="5878" width="18.5546875" style="1" customWidth="1"/>
    <col min="5879" max="5889" width="9" style="1" hidden="1" customWidth="1"/>
    <col min="5890" max="5890" width="18.5546875" style="1" customWidth="1"/>
    <col min="5891" max="5891" width="8.88671875" style="1"/>
    <col min="5892" max="5892" width="19.109375" style="1" customWidth="1"/>
    <col min="5893" max="6130" width="8.88671875" style="1"/>
    <col min="6131" max="6131" width="55.6640625" style="1" customWidth="1"/>
    <col min="6132" max="6133" width="22.44140625" style="1" customWidth="1"/>
    <col min="6134" max="6134" width="18.5546875" style="1" customWidth="1"/>
    <col min="6135" max="6145" width="9" style="1" hidden="1" customWidth="1"/>
    <col min="6146" max="6146" width="18.5546875" style="1" customWidth="1"/>
    <col min="6147" max="6147" width="8.88671875" style="1"/>
    <col min="6148" max="6148" width="19.109375" style="1" customWidth="1"/>
    <col min="6149" max="6386" width="8.88671875" style="1"/>
    <col min="6387" max="6387" width="55.6640625" style="1" customWidth="1"/>
    <col min="6388" max="6389" width="22.44140625" style="1" customWidth="1"/>
    <col min="6390" max="6390" width="18.5546875" style="1" customWidth="1"/>
    <col min="6391" max="6401" width="9" style="1" hidden="1" customWidth="1"/>
    <col min="6402" max="6402" width="18.5546875" style="1" customWidth="1"/>
    <col min="6403" max="6403" width="8.88671875" style="1"/>
    <col min="6404" max="6404" width="19.109375" style="1" customWidth="1"/>
    <col min="6405" max="6642" width="8.88671875" style="1"/>
    <col min="6643" max="6643" width="55.6640625" style="1" customWidth="1"/>
    <col min="6644" max="6645" width="22.44140625" style="1" customWidth="1"/>
    <col min="6646" max="6646" width="18.5546875" style="1" customWidth="1"/>
    <col min="6647" max="6657" width="9" style="1" hidden="1" customWidth="1"/>
    <col min="6658" max="6658" width="18.5546875" style="1" customWidth="1"/>
    <col min="6659" max="6659" width="8.88671875" style="1"/>
    <col min="6660" max="6660" width="19.109375" style="1" customWidth="1"/>
    <col min="6661" max="6898" width="8.88671875" style="1"/>
    <col min="6899" max="6899" width="55.6640625" style="1" customWidth="1"/>
    <col min="6900" max="6901" width="22.44140625" style="1" customWidth="1"/>
    <col min="6902" max="6902" width="18.5546875" style="1" customWidth="1"/>
    <col min="6903" max="6913" width="9" style="1" hidden="1" customWidth="1"/>
    <col min="6914" max="6914" width="18.5546875" style="1" customWidth="1"/>
    <col min="6915" max="6915" width="8.88671875" style="1"/>
    <col min="6916" max="6916" width="19.109375" style="1" customWidth="1"/>
    <col min="6917" max="7154" width="8.88671875" style="1"/>
    <col min="7155" max="7155" width="55.6640625" style="1" customWidth="1"/>
    <col min="7156" max="7157" width="22.44140625" style="1" customWidth="1"/>
    <col min="7158" max="7158" width="18.5546875" style="1" customWidth="1"/>
    <col min="7159" max="7169" width="9" style="1" hidden="1" customWidth="1"/>
    <col min="7170" max="7170" width="18.5546875" style="1" customWidth="1"/>
    <col min="7171" max="7171" width="8.88671875" style="1"/>
    <col min="7172" max="7172" width="19.109375" style="1" customWidth="1"/>
    <col min="7173" max="7410" width="8.88671875" style="1"/>
    <col min="7411" max="7411" width="55.6640625" style="1" customWidth="1"/>
    <col min="7412" max="7413" width="22.44140625" style="1" customWidth="1"/>
    <col min="7414" max="7414" width="18.5546875" style="1" customWidth="1"/>
    <col min="7415" max="7425" width="9" style="1" hidden="1" customWidth="1"/>
    <col min="7426" max="7426" width="18.5546875" style="1" customWidth="1"/>
    <col min="7427" max="7427" width="8.88671875" style="1"/>
    <col min="7428" max="7428" width="19.109375" style="1" customWidth="1"/>
    <col min="7429" max="7666" width="8.88671875" style="1"/>
    <col min="7667" max="7667" width="55.6640625" style="1" customWidth="1"/>
    <col min="7668" max="7669" width="22.44140625" style="1" customWidth="1"/>
    <col min="7670" max="7670" width="18.5546875" style="1" customWidth="1"/>
    <col min="7671" max="7681" width="9" style="1" hidden="1" customWidth="1"/>
    <col min="7682" max="7682" width="18.5546875" style="1" customWidth="1"/>
    <col min="7683" max="7683" width="8.88671875" style="1"/>
    <col min="7684" max="7684" width="19.109375" style="1" customWidth="1"/>
    <col min="7685" max="7922" width="8.88671875" style="1"/>
    <col min="7923" max="7923" width="55.6640625" style="1" customWidth="1"/>
    <col min="7924" max="7925" width="22.44140625" style="1" customWidth="1"/>
    <col min="7926" max="7926" width="18.5546875" style="1" customWidth="1"/>
    <col min="7927" max="7937" width="9" style="1" hidden="1" customWidth="1"/>
    <col min="7938" max="7938" width="18.5546875" style="1" customWidth="1"/>
    <col min="7939" max="7939" width="8.88671875" style="1"/>
    <col min="7940" max="7940" width="19.109375" style="1" customWidth="1"/>
    <col min="7941" max="8178" width="8.88671875" style="1"/>
    <col min="8179" max="8179" width="55.6640625" style="1" customWidth="1"/>
    <col min="8180" max="8181" width="22.44140625" style="1" customWidth="1"/>
    <col min="8182" max="8182" width="18.5546875" style="1" customWidth="1"/>
    <col min="8183" max="8193" width="9" style="1" hidden="1" customWidth="1"/>
    <col min="8194" max="8194" width="18.5546875" style="1" customWidth="1"/>
    <col min="8195" max="8195" width="8.88671875" style="1"/>
    <col min="8196" max="8196" width="19.109375" style="1" customWidth="1"/>
    <col min="8197" max="8434" width="8.88671875" style="1"/>
    <col min="8435" max="8435" width="55.6640625" style="1" customWidth="1"/>
    <col min="8436" max="8437" width="22.44140625" style="1" customWidth="1"/>
    <col min="8438" max="8438" width="18.5546875" style="1" customWidth="1"/>
    <col min="8439" max="8449" width="9" style="1" hidden="1" customWidth="1"/>
    <col min="8450" max="8450" width="18.5546875" style="1" customWidth="1"/>
    <col min="8451" max="8451" width="8.88671875" style="1"/>
    <col min="8452" max="8452" width="19.109375" style="1" customWidth="1"/>
    <col min="8453" max="8690" width="8.88671875" style="1"/>
    <col min="8691" max="8691" width="55.6640625" style="1" customWidth="1"/>
    <col min="8692" max="8693" width="22.44140625" style="1" customWidth="1"/>
    <col min="8694" max="8694" width="18.5546875" style="1" customWidth="1"/>
    <col min="8695" max="8705" width="9" style="1" hidden="1" customWidth="1"/>
    <col min="8706" max="8706" width="18.5546875" style="1" customWidth="1"/>
    <col min="8707" max="8707" width="8.88671875" style="1"/>
    <col min="8708" max="8708" width="19.109375" style="1" customWidth="1"/>
    <col min="8709" max="8946" width="8.88671875" style="1"/>
    <col min="8947" max="8947" width="55.6640625" style="1" customWidth="1"/>
    <col min="8948" max="8949" width="22.44140625" style="1" customWidth="1"/>
    <col min="8950" max="8950" width="18.5546875" style="1" customWidth="1"/>
    <col min="8951" max="8961" width="9" style="1" hidden="1" customWidth="1"/>
    <col min="8962" max="8962" width="18.5546875" style="1" customWidth="1"/>
    <col min="8963" max="8963" width="8.88671875" style="1"/>
    <col min="8964" max="8964" width="19.109375" style="1" customWidth="1"/>
    <col min="8965" max="9202" width="8.88671875" style="1"/>
    <col min="9203" max="9203" width="55.6640625" style="1" customWidth="1"/>
    <col min="9204" max="9205" width="22.44140625" style="1" customWidth="1"/>
    <col min="9206" max="9206" width="18.5546875" style="1" customWidth="1"/>
    <col min="9207" max="9217" width="9" style="1" hidden="1" customWidth="1"/>
    <col min="9218" max="9218" width="18.5546875" style="1" customWidth="1"/>
    <col min="9219" max="9219" width="8.88671875" style="1"/>
    <col min="9220" max="9220" width="19.109375" style="1" customWidth="1"/>
    <col min="9221" max="9458" width="8.88671875" style="1"/>
    <col min="9459" max="9459" width="55.6640625" style="1" customWidth="1"/>
    <col min="9460" max="9461" width="22.44140625" style="1" customWidth="1"/>
    <col min="9462" max="9462" width="18.5546875" style="1" customWidth="1"/>
    <col min="9463" max="9473" width="9" style="1" hidden="1" customWidth="1"/>
    <col min="9474" max="9474" width="18.5546875" style="1" customWidth="1"/>
    <col min="9475" max="9475" width="8.88671875" style="1"/>
    <col min="9476" max="9476" width="19.109375" style="1" customWidth="1"/>
    <col min="9477" max="9714" width="8.88671875" style="1"/>
    <col min="9715" max="9715" width="55.6640625" style="1" customWidth="1"/>
    <col min="9716" max="9717" width="22.44140625" style="1" customWidth="1"/>
    <col min="9718" max="9718" width="18.5546875" style="1" customWidth="1"/>
    <col min="9719" max="9729" width="9" style="1" hidden="1" customWidth="1"/>
    <col min="9730" max="9730" width="18.5546875" style="1" customWidth="1"/>
    <col min="9731" max="9731" width="8.88671875" style="1"/>
    <col min="9732" max="9732" width="19.109375" style="1" customWidth="1"/>
    <col min="9733" max="9970" width="8.88671875" style="1"/>
    <col min="9971" max="9971" width="55.6640625" style="1" customWidth="1"/>
    <col min="9972" max="9973" width="22.44140625" style="1" customWidth="1"/>
    <col min="9974" max="9974" width="18.5546875" style="1" customWidth="1"/>
    <col min="9975" max="9985" width="9" style="1" hidden="1" customWidth="1"/>
    <col min="9986" max="9986" width="18.5546875" style="1" customWidth="1"/>
    <col min="9987" max="9987" width="8.88671875" style="1"/>
    <col min="9988" max="9988" width="19.109375" style="1" customWidth="1"/>
    <col min="9989" max="10226" width="8.88671875" style="1"/>
    <col min="10227" max="10227" width="55.6640625" style="1" customWidth="1"/>
    <col min="10228" max="10229" width="22.44140625" style="1" customWidth="1"/>
    <col min="10230" max="10230" width="18.5546875" style="1" customWidth="1"/>
    <col min="10231" max="10241" width="9" style="1" hidden="1" customWidth="1"/>
    <col min="10242" max="10242" width="18.5546875" style="1" customWidth="1"/>
    <col min="10243" max="10243" width="8.88671875" style="1"/>
    <col min="10244" max="10244" width="19.109375" style="1" customWidth="1"/>
    <col min="10245" max="10482" width="8.88671875" style="1"/>
    <col min="10483" max="10483" width="55.6640625" style="1" customWidth="1"/>
    <col min="10484" max="10485" width="22.44140625" style="1" customWidth="1"/>
    <col min="10486" max="10486" width="18.5546875" style="1" customWidth="1"/>
    <col min="10487" max="10497" width="9" style="1" hidden="1" customWidth="1"/>
    <col min="10498" max="10498" width="18.5546875" style="1" customWidth="1"/>
    <col min="10499" max="10499" width="8.88671875" style="1"/>
    <col min="10500" max="10500" width="19.109375" style="1" customWidth="1"/>
    <col min="10501" max="10738" width="8.88671875" style="1"/>
    <col min="10739" max="10739" width="55.6640625" style="1" customWidth="1"/>
    <col min="10740" max="10741" width="22.44140625" style="1" customWidth="1"/>
    <col min="10742" max="10742" width="18.5546875" style="1" customWidth="1"/>
    <col min="10743" max="10753" width="9" style="1" hidden="1" customWidth="1"/>
    <col min="10754" max="10754" width="18.5546875" style="1" customWidth="1"/>
    <col min="10755" max="10755" width="8.88671875" style="1"/>
    <col min="10756" max="10756" width="19.109375" style="1" customWidth="1"/>
    <col min="10757" max="10994" width="8.88671875" style="1"/>
    <col min="10995" max="10995" width="55.6640625" style="1" customWidth="1"/>
    <col min="10996" max="10997" width="22.44140625" style="1" customWidth="1"/>
    <col min="10998" max="10998" width="18.5546875" style="1" customWidth="1"/>
    <col min="10999" max="11009" width="9" style="1" hidden="1" customWidth="1"/>
    <col min="11010" max="11010" width="18.5546875" style="1" customWidth="1"/>
    <col min="11011" max="11011" width="8.88671875" style="1"/>
    <col min="11012" max="11012" width="19.109375" style="1" customWidth="1"/>
    <col min="11013" max="11250" width="8.88671875" style="1"/>
    <col min="11251" max="11251" width="55.6640625" style="1" customWidth="1"/>
    <col min="11252" max="11253" width="22.44140625" style="1" customWidth="1"/>
    <col min="11254" max="11254" width="18.5546875" style="1" customWidth="1"/>
    <col min="11255" max="11265" width="9" style="1" hidden="1" customWidth="1"/>
    <col min="11266" max="11266" width="18.5546875" style="1" customWidth="1"/>
    <col min="11267" max="11267" width="8.88671875" style="1"/>
    <col min="11268" max="11268" width="19.109375" style="1" customWidth="1"/>
    <col min="11269" max="11506" width="8.88671875" style="1"/>
    <col min="11507" max="11507" width="55.6640625" style="1" customWidth="1"/>
    <col min="11508" max="11509" width="22.44140625" style="1" customWidth="1"/>
    <col min="11510" max="11510" width="18.5546875" style="1" customWidth="1"/>
    <col min="11511" max="11521" width="9" style="1" hidden="1" customWidth="1"/>
    <col min="11522" max="11522" width="18.5546875" style="1" customWidth="1"/>
    <col min="11523" max="11523" width="8.88671875" style="1"/>
    <col min="11524" max="11524" width="19.109375" style="1" customWidth="1"/>
    <col min="11525" max="11762" width="8.88671875" style="1"/>
    <col min="11763" max="11763" width="55.6640625" style="1" customWidth="1"/>
    <col min="11764" max="11765" width="22.44140625" style="1" customWidth="1"/>
    <col min="11766" max="11766" width="18.5546875" style="1" customWidth="1"/>
    <col min="11767" max="11777" width="9" style="1" hidden="1" customWidth="1"/>
    <col min="11778" max="11778" width="18.5546875" style="1" customWidth="1"/>
    <col min="11779" max="11779" width="8.88671875" style="1"/>
    <col min="11780" max="11780" width="19.109375" style="1" customWidth="1"/>
    <col min="11781" max="12018" width="8.88671875" style="1"/>
    <col min="12019" max="12019" width="55.6640625" style="1" customWidth="1"/>
    <col min="12020" max="12021" width="22.44140625" style="1" customWidth="1"/>
    <col min="12022" max="12022" width="18.5546875" style="1" customWidth="1"/>
    <col min="12023" max="12033" width="9" style="1" hidden="1" customWidth="1"/>
    <col min="12034" max="12034" width="18.5546875" style="1" customWidth="1"/>
    <col min="12035" max="12035" width="8.88671875" style="1"/>
    <col min="12036" max="12036" width="19.109375" style="1" customWidth="1"/>
    <col min="12037" max="12274" width="8.88671875" style="1"/>
    <col min="12275" max="12275" width="55.6640625" style="1" customWidth="1"/>
    <col min="12276" max="12277" width="22.44140625" style="1" customWidth="1"/>
    <col min="12278" max="12278" width="18.5546875" style="1" customWidth="1"/>
    <col min="12279" max="12289" width="9" style="1" hidden="1" customWidth="1"/>
    <col min="12290" max="12290" width="18.5546875" style="1" customWidth="1"/>
    <col min="12291" max="12291" width="8.88671875" style="1"/>
    <col min="12292" max="12292" width="19.109375" style="1" customWidth="1"/>
    <col min="12293" max="12530" width="8.88671875" style="1"/>
    <col min="12531" max="12531" width="55.6640625" style="1" customWidth="1"/>
    <col min="12532" max="12533" width="22.44140625" style="1" customWidth="1"/>
    <col min="12534" max="12534" width="18.5546875" style="1" customWidth="1"/>
    <col min="12535" max="12545" width="9" style="1" hidden="1" customWidth="1"/>
    <col min="12546" max="12546" width="18.5546875" style="1" customWidth="1"/>
    <col min="12547" max="12547" width="8.88671875" style="1"/>
    <col min="12548" max="12548" width="19.109375" style="1" customWidth="1"/>
    <col min="12549" max="12786" width="8.88671875" style="1"/>
    <col min="12787" max="12787" width="55.6640625" style="1" customWidth="1"/>
    <col min="12788" max="12789" width="22.44140625" style="1" customWidth="1"/>
    <col min="12790" max="12790" width="18.5546875" style="1" customWidth="1"/>
    <col min="12791" max="12801" width="9" style="1" hidden="1" customWidth="1"/>
    <col min="12802" max="12802" width="18.5546875" style="1" customWidth="1"/>
    <col min="12803" max="12803" width="8.88671875" style="1"/>
    <col min="12804" max="12804" width="19.109375" style="1" customWidth="1"/>
    <col min="12805" max="13042" width="8.88671875" style="1"/>
    <col min="13043" max="13043" width="55.6640625" style="1" customWidth="1"/>
    <col min="13044" max="13045" width="22.44140625" style="1" customWidth="1"/>
    <col min="13046" max="13046" width="18.5546875" style="1" customWidth="1"/>
    <col min="13047" max="13057" width="9" style="1" hidden="1" customWidth="1"/>
    <col min="13058" max="13058" width="18.5546875" style="1" customWidth="1"/>
    <col min="13059" max="13059" width="8.88671875" style="1"/>
    <col min="13060" max="13060" width="19.109375" style="1" customWidth="1"/>
    <col min="13061" max="13298" width="8.88671875" style="1"/>
    <col min="13299" max="13299" width="55.6640625" style="1" customWidth="1"/>
    <col min="13300" max="13301" width="22.44140625" style="1" customWidth="1"/>
    <col min="13302" max="13302" width="18.5546875" style="1" customWidth="1"/>
    <col min="13303" max="13313" width="9" style="1" hidden="1" customWidth="1"/>
    <col min="13314" max="13314" width="18.5546875" style="1" customWidth="1"/>
    <col min="13315" max="13315" width="8.88671875" style="1"/>
    <col min="13316" max="13316" width="19.109375" style="1" customWidth="1"/>
    <col min="13317" max="13554" width="8.88671875" style="1"/>
    <col min="13555" max="13555" width="55.6640625" style="1" customWidth="1"/>
    <col min="13556" max="13557" width="22.44140625" style="1" customWidth="1"/>
    <col min="13558" max="13558" width="18.5546875" style="1" customWidth="1"/>
    <col min="13559" max="13569" width="9" style="1" hidden="1" customWidth="1"/>
    <col min="13570" max="13570" width="18.5546875" style="1" customWidth="1"/>
    <col min="13571" max="13571" width="8.88671875" style="1"/>
    <col min="13572" max="13572" width="19.109375" style="1" customWidth="1"/>
    <col min="13573" max="13810" width="8.88671875" style="1"/>
    <col min="13811" max="13811" width="55.6640625" style="1" customWidth="1"/>
    <col min="13812" max="13813" width="22.44140625" style="1" customWidth="1"/>
    <col min="13814" max="13814" width="18.5546875" style="1" customWidth="1"/>
    <col min="13815" max="13825" width="9" style="1" hidden="1" customWidth="1"/>
    <col min="13826" max="13826" width="18.5546875" style="1" customWidth="1"/>
    <col min="13827" max="13827" width="8.88671875" style="1"/>
    <col min="13828" max="13828" width="19.109375" style="1" customWidth="1"/>
    <col min="13829" max="14066" width="8.88671875" style="1"/>
    <col min="14067" max="14067" width="55.6640625" style="1" customWidth="1"/>
    <col min="14068" max="14069" width="22.44140625" style="1" customWidth="1"/>
    <col min="14070" max="14070" width="18.5546875" style="1" customWidth="1"/>
    <col min="14071" max="14081" width="9" style="1" hidden="1" customWidth="1"/>
    <col min="14082" max="14082" width="18.5546875" style="1" customWidth="1"/>
    <col min="14083" max="14083" width="8.88671875" style="1"/>
    <col min="14084" max="14084" width="19.109375" style="1" customWidth="1"/>
    <col min="14085" max="14322" width="8.88671875" style="1"/>
    <col min="14323" max="14323" width="55.6640625" style="1" customWidth="1"/>
    <col min="14324" max="14325" width="22.44140625" style="1" customWidth="1"/>
    <col min="14326" max="14326" width="18.5546875" style="1" customWidth="1"/>
    <col min="14327" max="14337" width="9" style="1" hidden="1" customWidth="1"/>
    <col min="14338" max="14338" width="18.5546875" style="1" customWidth="1"/>
    <col min="14339" max="14339" width="8.88671875" style="1"/>
    <col min="14340" max="14340" width="19.109375" style="1" customWidth="1"/>
    <col min="14341" max="14578" width="8.88671875" style="1"/>
    <col min="14579" max="14579" width="55.6640625" style="1" customWidth="1"/>
    <col min="14580" max="14581" width="22.44140625" style="1" customWidth="1"/>
    <col min="14582" max="14582" width="18.5546875" style="1" customWidth="1"/>
    <col min="14583" max="14593" width="9" style="1" hidden="1" customWidth="1"/>
    <col min="14594" max="14594" width="18.5546875" style="1" customWidth="1"/>
    <col min="14595" max="14595" width="8.88671875" style="1"/>
    <col min="14596" max="14596" width="19.109375" style="1" customWidth="1"/>
    <col min="14597" max="14834" width="8.88671875" style="1"/>
    <col min="14835" max="14835" width="55.6640625" style="1" customWidth="1"/>
    <col min="14836" max="14837" width="22.44140625" style="1" customWidth="1"/>
    <col min="14838" max="14838" width="18.5546875" style="1" customWidth="1"/>
    <col min="14839" max="14849" width="9" style="1" hidden="1" customWidth="1"/>
    <col min="14850" max="14850" width="18.5546875" style="1" customWidth="1"/>
    <col min="14851" max="14851" width="8.88671875" style="1"/>
    <col min="14852" max="14852" width="19.109375" style="1" customWidth="1"/>
    <col min="14853" max="15090" width="8.88671875" style="1"/>
    <col min="15091" max="15091" width="55.6640625" style="1" customWidth="1"/>
    <col min="15092" max="15093" width="22.44140625" style="1" customWidth="1"/>
    <col min="15094" max="15094" width="18.5546875" style="1" customWidth="1"/>
    <col min="15095" max="15105" width="9" style="1" hidden="1" customWidth="1"/>
    <col min="15106" max="15106" width="18.5546875" style="1" customWidth="1"/>
    <col min="15107" max="15107" width="8.88671875" style="1"/>
    <col min="15108" max="15108" width="19.109375" style="1" customWidth="1"/>
    <col min="15109" max="15346" width="8.88671875" style="1"/>
    <col min="15347" max="15347" width="55.6640625" style="1" customWidth="1"/>
    <col min="15348" max="15349" width="22.44140625" style="1" customWidth="1"/>
    <col min="15350" max="15350" width="18.5546875" style="1" customWidth="1"/>
    <col min="15351" max="15361" width="9" style="1" hidden="1" customWidth="1"/>
    <col min="15362" max="15362" width="18.5546875" style="1" customWidth="1"/>
    <col min="15363" max="15363" width="8.88671875" style="1"/>
    <col min="15364" max="15364" width="19.109375" style="1" customWidth="1"/>
    <col min="15365" max="15602" width="8.88671875" style="1"/>
    <col min="15603" max="15603" width="55.6640625" style="1" customWidth="1"/>
    <col min="15604" max="15605" width="22.44140625" style="1" customWidth="1"/>
    <col min="15606" max="15606" width="18.5546875" style="1" customWidth="1"/>
    <col min="15607" max="15617" width="9" style="1" hidden="1" customWidth="1"/>
    <col min="15618" max="15618" width="18.5546875" style="1" customWidth="1"/>
    <col min="15619" max="15619" width="8.88671875" style="1"/>
    <col min="15620" max="15620" width="19.109375" style="1" customWidth="1"/>
    <col min="15621" max="15858" width="8.88671875" style="1"/>
    <col min="15859" max="15859" width="55.6640625" style="1" customWidth="1"/>
    <col min="15860" max="15861" width="22.44140625" style="1" customWidth="1"/>
    <col min="15862" max="15862" width="18.5546875" style="1" customWidth="1"/>
    <col min="15863" max="15873" width="9" style="1" hidden="1" customWidth="1"/>
    <col min="15874" max="15874" width="18.5546875" style="1" customWidth="1"/>
    <col min="15875" max="15875" width="8.88671875" style="1"/>
    <col min="15876" max="15876" width="19.109375" style="1" customWidth="1"/>
    <col min="15877" max="16114" width="8.88671875" style="1"/>
    <col min="16115" max="16115" width="55.6640625" style="1" customWidth="1"/>
    <col min="16116" max="16117" width="22.44140625" style="1" customWidth="1"/>
    <col min="16118" max="16118" width="18.5546875" style="1" customWidth="1"/>
    <col min="16119" max="16129" width="9" style="1" hidden="1" customWidth="1"/>
    <col min="16130" max="16130" width="18.5546875" style="1" customWidth="1"/>
    <col min="16131" max="16131" width="8.88671875" style="1"/>
    <col min="16132" max="16132" width="19.109375" style="1" customWidth="1"/>
    <col min="16133" max="16370" width="8.88671875" style="1"/>
    <col min="16371" max="16384" width="8.88671875" style="1" customWidth="1"/>
  </cols>
  <sheetData>
    <row r="1" spans="1:3" ht="23.25" customHeight="1" x14ac:dyDescent="0.5">
      <c r="A1" s="3" t="s">
        <v>102</v>
      </c>
      <c r="B1" s="3"/>
      <c r="C1" s="3"/>
    </row>
    <row r="2" spans="1:3" ht="13.5" customHeight="1" x14ac:dyDescent="0.25">
      <c r="A2" s="4"/>
      <c r="B2" s="4"/>
      <c r="C2" s="5"/>
    </row>
    <row r="3" spans="1:3" ht="19.350000000000001" customHeight="1" x14ac:dyDescent="0.25">
      <c r="A3" s="6" t="s">
        <v>74</v>
      </c>
      <c r="B3" s="7" t="s">
        <v>75</v>
      </c>
      <c r="C3" s="8" t="s">
        <v>2</v>
      </c>
    </row>
    <row r="4" spans="1:3" ht="18" customHeight="1" x14ac:dyDescent="0.3">
      <c r="A4" s="9" t="s">
        <v>103</v>
      </c>
      <c r="B4" s="10" t="s">
        <v>104</v>
      </c>
      <c r="C4" s="11" t="s">
        <v>143</v>
      </c>
    </row>
    <row r="5" spans="1:3" ht="19.5" customHeight="1" x14ac:dyDescent="0.25">
      <c r="A5" s="12" t="s">
        <v>105</v>
      </c>
      <c r="B5" s="13"/>
      <c r="C5" s="13"/>
    </row>
    <row r="6" spans="1:3" ht="19.5" customHeight="1" x14ac:dyDescent="0.25">
      <c r="A6" s="14" t="s">
        <v>106</v>
      </c>
      <c r="B6" s="13">
        <v>0</v>
      </c>
      <c r="C6" s="13">
        <v>0</v>
      </c>
    </row>
    <row r="7" spans="1:3" ht="19.5" customHeight="1" x14ac:dyDescent="0.25">
      <c r="A7" s="14" t="s">
        <v>107</v>
      </c>
      <c r="B7" s="13">
        <v>0</v>
      </c>
      <c r="C7" s="13">
        <v>10870.73</v>
      </c>
    </row>
    <row r="8" spans="1:3" ht="19.5" customHeight="1" x14ac:dyDescent="0.25">
      <c r="A8" s="14" t="s">
        <v>108</v>
      </c>
      <c r="B8" s="13">
        <v>19659477.870000001</v>
      </c>
      <c r="C8" s="13">
        <v>4921104.47</v>
      </c>
    </row>
    <row r="9" spans="1:3" ht="19.5" customHeight="1" x14ac:dyDescent="0.25">
      <c r="A9" s="12" t="s">
        <v>109</v>
      </c>
      <c r="B9" s="15">
        <v>19659477.870000001</v>
      </c>
      <c r="C9" s="15">
        <v>4931975.2</v>
      </c>
    </row>
    <row r="10" spans="1:3" ht="19.5" customHeight="1" x14ac:dyDescent="0.25">
      <c r="A10" s="14" t="s">
        <v>110</v>
      </c>
      <c r="B10" s="13">
        <v>0</v>
      </c>
      <c r="C10" s="13">
        <v>0</v>
      </c>
    </row>
    <row r="11" spans="1:3" ht="19.5" customHeight="1" x14ac:dyDescent="0.25">
      <c r="A11" s="14" t="s">
        <v>111</v>
      </c>
      <c r="B11" s="13">
        <v>5199173.84</v>
      </c>
      <c r="C11" s="13">
        <v>3161751.65</v>
      </c>
    </row>
    <row r="12" spans="1:3" ht="19.5" customHeight="1" x14ac:dyDescent="0.25">
      <c r="A12" s="14" t="s">
        <v>112</v>
      </c>
      <c r="B12" s="13">
        <v>0</v>
      </c>
      <c r="C12" s="13">
        <v>0</v>
      </c>
    </row>
    <row r="13" spans="1:3" ht="19.5" customHeight="1" x14ac:dyDescent="0.25">
      <c r="A13" s="14" t="s">
        <v>113</v>
      </c>
      <c r="B13" s="13">
        <v>14692803.880000001</v>
      </c>
      <c r="C13" s="13">
        <v>1749990.1</v>
      </c>
    </row>
    <row r="14" spans="1:3" ht="19.5" customHeight="1" x14ac:dyDescent="0.25">
      <c r="A14" s="12" t="s">
        <v>114</v>
      </c>
      <c r="B14" s="15">
        <v>19891977.719999999</v>
      </c>
      <c r="C14" s="15">
        <v>4911741.75</v>
      </c>
    </row>
    <row r="15" spans="1:3" ht="19.5" customHeight="1" x14ac:dyDescent="0.25">
      <c r="A15" s="12" t="s">
        <v>115</v>
      </c>
      <c r="B15" s="15">
        <v>-232499.85</v>
      </c>
      <c r="C15" s="15">
        <v>20233.450000000099</v>
      </c>
    </row>
    <row r="16" spans="1:3" ht="19.5" customHeight="1" x14ac:dyDescent="0.25">
      <c r="A16" s="12" t="s">
        <v>116</v>
      </c>
      <c r="B16" s="13">
        <v>0</v>
      </c>
      <c r="C16" s="13">
        <v>0</v>
      </c>
    </row>
    <row r="17" spans="1:3" ht="19.5" customHeight="1" x14ac:dyDescent="0.25">
      <c r="A17" s="14" t="s">
        <v>117</v>
      </c>
      <c r="B17" s="13">
        <v>0</v>
      </c>
      <c r="C17" s="13">
        <v>0</v>
      </c>
    </row>
    <row r="18" spans="1:3" ht="19.5" customHeight="1" x14ac:dyDescent="0.25">
      <c r="A18" s="14" t="s">
        <v>118</v>
      </c>
      <c r="B18" s="13">
        <v>0</v>
      </c>
      <c r="C18" s="13">
        <v>0</v>
      </c>
    </row>
    <row r="19" spans="1:3" ht="19.5" customHeight="1" x14ac:dyDescent="0.25">
      <c r="A19" s="14" t="s">
        <v>119</v>
      </c>
      <c r="B19" s="13">
        <v>0</v>
      </c>
      <c r="C19" s="13">
        <v>0</v>
      </c>
    </row>
    <row r="20" spans="1:3" ht="19.5" customHeight="1" x14ac:dyDescent="0.25">
      <c r="A20" s="14" t="s">
        <v>120</v>
      </c>
      <c r="B20" s="13">
        <v>0</v>
      </c>
      <c r="C20" s="13">
        <v>0</v>
      </c>
    </row>
    <row r="21" spans="1:3" ht="19.5" customHeight="1" x14ac:dyDescent="0.25">
      <c r="A21" s="14" t="s">
        <v>121</v>
      </c>
      <c r="B21" s="13">
        <v>0</v>
      </c>
      <c r="C21" s="13">
        <v>0</v>
      </c>
    </row>
    <row r="22" spans="1:3" ht="19.5" customHeight="1" x14ac:dyDescent="0.25">
      <c r="A22" s="12" t="s">
        <v>122</v>
      </c>
      <c r="B22" s="13">
        <v>0</v>
      </c>
      <c r="C22" s="13">
        <v>0</v>
      </c>
    </row>
    <row r="23" spans="1:3" ht="19.5" customHeight="1" x14ac:dyDescent="0.25">
      <c r="A23" s="14" t="s">
        <v>123</v>
      </c>
      <c r="B23" s="13">
        <v>0</v>
      </c>
      <c r="C23" s="13">
        <v>14125</v>
      </c>
    </row>
    <row r="24" spans="1:3" ht="19.5" customHeight="1" x14ac:dyDescent="0.25">
      <c r="A24" s="14" t="s">
        <v>124</v>
      </c>
      <c r="B24" s="13">
        <v>0</v>
      </c>
      <c r="C24" s="13">
        <v>0</v>
      </c>
    </row>
    <row r="25" spans="1:3" ht="19.5" customHeight="1" x14ac:dyDescent="0.25">
      <c r="A25" s="14" t="s">
        <v>125</v>
      </c>
      <c r="B25" s="13">
        <v>0</v>
      </c>
      <c r="C25" s="13">
        <v>0</v>
      </c>
    </row>
    <row r="26" spans="1:3" ht="19.5" customHeight="1" x14ac:dyDescent="0.25">
      <c r="A26" s="14" t="s">
        <v>126</v>
      </c>
      <c r="B26" s="13">
        <v>0</v>
      </c>
      <c r="C26" s="13">
        <v>0</v>
      </c>
    </row>
    <row r="27" spans="1:3" ht="19.5" customHeight="1" x14ac:dyDescent="0.25">
      <c r="A27" s="12" t="s">
        <v>127</v>
      </c>
      <c r="B27" s="15">
        <v>0</v>
      </c>
      <c r="C27" s="15">
        <v>14125</v>
      </c>
    </row>
    <row r="28" spans="1:3" ht="19.5" customHeight="1" x14ac:dyDescent="0.25">
      <c r="A28" s="12" t="s">
        <v>128</v>
      </c>
      <c r="B28" s="15">
        <v>0</v>
      </c>
      <c r="C28" s="15">
        <v>-14125</v>
      </c>
    </row>
    <row r="29" spans="1:3" ht="19.5" customHeight="1" x14ac:dyDescent="0.25">
      <c r="A29" s="12" t="s">
        <v>129</v>
      </c>
      <c r="B29" s="13">
        <v>0</v>
      </c>
      <c r="C29" s="13">
        <v>0</v>
      </c>
    </row>
    <row r="30" spans="1:3" ht="19.5" customHeight="1" x14ac:dyDescent="0.25">
      <c r="A30" s="14" t="s">
        <v>130</v>
      </c>
      <c r="B30" s="13">
        <v>0</v>
      </c>
      <c r="C30" s="13">
        <v>0</v>
      </c>
    </row>
    <row r="31" spans="1:3" ht="19.5" customHeight="1" x14ac:dyDescent="0.25">
      <c r="A31" s="14" t="s">
        <v>131</v>
      </c>
      <c r="B31" s="13">
        <v>0</v>
      </c>
      <c r="C31" s="13">
        <v>52000</v>
      </c>
    </row>
    <row r="32" spans="1:3" ht="19.5" customHeight="1" x14ac:dyDescent="0.25">
      <c r="A32" s="14" t="s">
        <v>132</v>
      </c>
      <c r="B32" s="13">
        <v>0</v>
      </c>
      <c r="C32" s="13">
        <v>0</v>
      </c>
    </row>
    <row r="33" spans="1:3" ht="19.5" customHeight="1" x14ac:dyDescent="0.25">
      <c r="A33" s="12" t="s">
        <v>133</v>
      </c>
      <c r="B33" s="13">
        <v>0</v>
      </c>
      <c r="C33" s="13">
        <v>52000</v>
      </c>
    </row>
    <row r="34" spans="1:3" ht="19.5" customHeight="1" x14ac:dyDescent="0.25">
      <c r="A34" s="14" t="s">
        <v>134</v>
      </c>
      <c r="B34" s="13">
        <v>0</v>
      </c>
      <c r="C34" s="13">
        <v>52000</v>
      </c>
    </row>
    <row r="35" spans="1:3" ht="19.5" customHeight="1" x14ac:dyDescent="0.25">
      <c r="A35" s="14" t="s">
        <v>135</v>
      </c>
      <c r="B35" s="13">
        <v>0</v>
      </c>
      <c r="C35" s="13">
        <v>0</v>
      </c>
    </row>
    <row r="36" spans="1:3" ht="19.5" customHeight="1" x14ac:dyDescent="0.25">
      <c r="A36" s="14" t="s">
        <v>136</v>
      </c>
      <c r="B36" s="13">
        <v>0</v>
      </c>
      <c r="C36" s="13">
        <v>0</v>
      </c>
    </row>
    <row r="37" spans="1:3" ht="19.5" customHeight="1" x14ac:dyDescent="0.25">
      <c r="A37" s="12" t="s">
        <v>137</v>
      </c>
      <c r="B37" s="13">
        <v>0</v>
      </c>
      <c r="C37" s="13">
        <v>52000</v>
      </c>
    </row>
    <row r="38" spans="1:3" ht="19.5" customHeight="1" x14ac:dyDescent="0.25">
      <c r="A38" s="12" t="s">
        <v>138</v>
      </c>
      <c r="B38" s="13">
        <v>0</v>
      </c>
      <c r="C38" s="13">
        <v>0</v>
      </c>
    </row>
    <row r="39" spans="1:3" ht="19.5" customHeight="1" x14ac:dyDescent="0.25">
      <c r="A39" s="12" t="s">
        <v>139</v>
      </c>
      <c r="B39" s="15">
        <v>0</v>
      </c>
      <c r="C39" s="15">
        <v>0</v>
      </c>
    </row>
    <row r="40" spans="1:3" ht="19.5" customHeight="1" x14ac:dyDescent="0.25">
      <c r="A40" s="12" t="s">
        <v>140</v>
      </c>
      <c r="B40" s="15">
        <v>-232499.85</v>
      </c>
      <c r="C40" s="15">
        <v>6108.4500000000498</v>
      </c>
    </row>
    <row r="41" spans="1:3" ht="19.5" customHeight="1" x14ac:dyDescent="0.25">
      <c r="A41" s="14" t="s">
        <v>141</v>
      </c>
      <c r="B41" s="13">
        <v>237824.34</v>
      </c>
      <c r="C41" s="13">
        <v>5324.49</v>
      </c>
    </row>
    <row r="42" spans="1:3" ht="19.5" customHeight="1" x14ac:dyDescent="0.25">
      <c r="A42" s="12" t="s">
        <v>142</v>
      </c>
      <c r="B42" s="15">
        <v>5324.4899999998997</v>
      </c>
      <c r="C42" s="15">
        <v>11432.940000000101</v>
      </c>
    </row>
  </sheetData>
  <phoneticPr fontId="14" type="noConversion"/>
  <pageMargins left="0.196850393700787" right="0.196850393700787" top="0.39370078740157499" bottom="0.39370078740157499" header="0.51180999999999999" footer="0.51180999999999999"/>
  <pageSetup paperSize="9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</dc:creator>
  <cp:lastModifiedBy>xin liu</cp:lastModifiedBy>
  <cp:lastPrinted>2024-01-24T02:40:00Z</cp:lastPrinted>
  <dcterms:created xsi:type="dcterms:W3CDTF">2023-02-08T08:30:00Z</dcterms:created>
  <dcterms:modified xsi:type="dcterms:W3CDTF">2026-03-16T05:27:12Z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71F34550DF51461EBC12D12BF062DD33_13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
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gener\Desktop\财务资料\财务报表\合并报表-刘鑫(1)\合并报表-2025\"/>
    </mc:Choice>
  </mc:AlternateContent>
  <xr:revisionPtr revIDLastSave="0" documentId="13_ncr:1_{9065AB50-45B1-4E50-B0F2-F51E8BEA943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资产负债表" sheetId="7" r:id="rId1"/>
    <sheet name="利润表" sheetId="6" r:id="rId2"/>
    <sheet name="现金流量表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7" i="5" l="1"/>
  <c r="D34" i="5"/>
  <c r="C34" i="5"/>
  <c r="D39" i="5" l="1"/>
  <c r="D30" i="5"/>
  <c r="D35" i="5" s="1"/>
  <c r="D24" i="5"/>
  <c r="D25" i="5" s="1"/>
  <c r="D13" i="5"/>
  <c r="D8" i="5"/>
  <c r="C8" i="5"/>
  <c r="C23" i="6"/>
  <c r="C21" i="6"/>
  <c r="C17" i="6"/>
  <c r="C25" i="6"/>
  <c r="C8" i="6"/>
  <c r="P38" i="7"/>
  <c r="P16" i="7"/>
  <c r="D17" i="6"/>
  <c r="D21" i="6" s="1"/>
  <c r="D23" i="6" s="1"/>
  <c r="D14" i="5" l="1"/>
  <c r="AB19" i="7"/>
  <c r="C30" i="5"/>
  <c r="C35" i="5" s="1"/>
  <c r="C24" i="5"/>
  <c r="C25" i="5" s="1"/>
  <c r="C13" i="5"/>
  <c r="C14" i="5"/>
  <c r="AB41" i="7"/>
  <c r="AB29" i="7"/>
  <c r="N41" i="7"/>
  <c r="N17" i="7"/>
  <c r="B24" i="5"/>
  <c r="B20" i="5"/>
  <c r="B13" i="5"/>
  <c r="B8" i="5"/>
  <c r="B14" i="5" s="1"/>
  <c r="B17" i="6"/>
  <c r="B21" i="6" s="1"/>
  <c r="B23" i="6" s="1"/>
  <c r="AA41" i="7"/>
  <c r="Z41" i="7"/>
  <c r="Y41" i="7"/>
  <c r="X41" i="7"/>
  <c r="W41" i="7"/>
  <c r="V41" i="7"/>
  <c r="U41" i="7"/>
  <c r="T41" i="7"/>
  <c r="S41" i="7"/>
  <c r="R41" i="7"/>
  <c r="Q41" i="7"/>
  <c r="P41" i="7"/>
  <c r="M41" i="7"/>
  <c r="L41" i="7"/>
  <c r="K41" i="7"/>
  <c r="J41" i="7"/>
  <c r="J42" i="7" s="1"/>
  <c r="I41" i="7"/>
  <c r="I42" i="7" s="1"/>
  <c r="H41" i="7"/>
  <c r="G41" i="7"/>
  <c r="F41" i="7"/>
  <c r="E41" i="7"/>
  <c r="D41" i="7"/>
  <c r="C41" i="7"/>
  <c r="B41" i="7"/>
  <c r="AA29" i="7"/>
  <c r="Z29" i="7"/>
  <c r="Y29" i="7"/>
  <c r="X29" i="7"/>
  <c r="W29" i="7"/>
  <c r="V29" i="7"/>
  <c r="U29" i="7"/>
  <c r="T29" i="7"/>
  <c r="S29" i="7"/>
  <c r="R29" i="7"/>
  <c r="Q29" i="7"/>
  <c r="P29" i="7"/>
  <c r="AA19" i="7"/>
  <c r="AA30" i="7" s="1"/>
  <c r="AA42" i="7" s="1"/>
  <c r="Z19" i="7"/>
  <c r="Y19" i="7"/>
  <c r="X19" i="7"/>
  <c r="W19" i="7"/>
  <c r="V19" i="7"/>
  <c r="U19" i="7"/>
  <c r="T19" i="7"/>
  <c r="S19" i="7"/>
  <c r="R19" i="7"/>
  <c r="R30" i="7" s="1"/>
  <c r="R42" i="7" s="1"/>
  <c r="Q19" i="7"/>
  <c r="Q30" i="7" s="1"/>
  <c r="Q42" i="7" s="1"/>
  <c r="P19" i="7"/>
  <c r="P30" i="7" s="1"/>
  <c r="M17" i="7"/>
  <c r="M42" i="7" s="1"/>
  <c r="L17" i="7"/>
  <c r="L42" i="7" s="1"/>
  <c r="K17" i="7"/>
  <c r="K42" i="7" s="1"/>
  <c r="J17" i="7"/>
  <c r="I17" i="7"/>
  <c r="H17" i="7"/>
  <c r="G17" i="7"/>
  <c r="F17" i="7"/>
  <c r="E17" i="7"/>
  <c r="D17" i="7"/>
  <c r="C17" i="7"/>
  <c r="B17" i="7"/>
  <c r="B42" i="7" s="1"/>
  <c r="N42" i="7" l="1"/>
  <c r="AB30" i="7"/>
  <c r="AB42" i="7" s="1"/>
  <c r="C39" i="5"/>
  <c r="P42" i="7"/>
  <c r="S30" i="7"/>
  <c r="S42" i="7" s="1"/>
  <c r="T30" i="7"/>
  <c r="T42" i="7" s="1"/>
  <c r="C42" i="7"/>
  <c r="U30" i="7"/>
  <c r="U42" i="7" s="1"/>
  <c r="D42" i="7"/>
  <c r="V30" i="7"/>
  <c r="V42" i="7" s="1"/>
  <c r="E42" i="7"/>
  <c r="W30" i="7"/>
  <c r="W42" i="7" s="1"/>
  <c r="F42" i="7"/>
  <c r="X30" i="7"/>
  <c r="X42" i="7" s="1"/>
  <c r="G42" i="7"/>
  <c r="Y30" i="7"/>
  <c r="Y42" i="7" s="1"/>
  <c r="H42" i="7"/>
  <c r="Z30" i="7"/>
  <c r="Z42" i="7" s="1"/>
  <c r="B25" i="5"/>
  <c r="B37" i="5" s="1"/>
  <c r="B39" i="5" s="1"/>
</calcChain>
</file>

<file path=xl/sharedStrings.xml><?xml version="1.0" encoding="utf-8"?>
<sst xmlns="http://schemas.openxmlformats.org/spreadsheetml/2006/main" count="160" uniqueCount="147">
  <si>
    <t>资产负债表</t>
  </si>
  <si>
    <t>编制单位：丰华生物有限公司</t>
  </si>
  <si>
    <t>资    产</t>
  </si>
  <si>
    <t>负债及所有者权益（或股东权益）</t>
  </si>
  <si>
    <t>流动资产：</t>
  </si>
  <si>
    <t>流动负债：</t>
  </si>
  <si>
    <t xml:space="preserve">    货币资金</t>
  </si>
  <si>
    <t xml:space="preserve">    短期借款</t>
  </si>
  <si>
    <t xml:space="preserve">    交易性金融资产</t>
  </si>
  <si>
    <t xml:space="preserve">    交易性金融负债</t>
  </si>
  <si>
    <t xml:space="preserve">    衍生金融资产</t>
  </si>
  <si>
    <t xml:space="preserve">    衍生金融负债</t>
  </si>
  <si>
    <t xml:space="preserve">    应收票据</t>
  </si>
  <si>
    <t xml:space="preserve">    应付票据</t>
  </si>
  <si>
    <t xml:space="preserve">    应收账款</t>
  </si>
  <si>
    <t xml:space="preserve">    应付账款</t>
  </si>
  <si>
    <t xml:space="preserve">    预付款项</t>
  </si>
  <si>
    <t xml:space="preserve">    预收款项</t>
  </si>
  <si>
    <t xml:space="preserve">    应收利息</t>
  </si>
  <si>
    <t xml:space="preserve">    合同负债</t>
  </si>
  <si>
    <t xml:space="preserve">    应收股利</t>
  </si>
  <si>
    <t xml:space="preserve">    应付职工薪酬</t>
  </si>
  <si>
    <t xml:space="preserve">    其他应收款</t>
  </si>
  <si>
    <t xml:space="preserve">    应交税费</t>
  </si>
  <si>
    <t xml:space="preserve">    存货</t>
  </si>
  <si>
    <t xml:space="preserve">    应付利息</t>
  </si>
  <si>
    <t xml:space="preserve">    一年内到期的非流动资产</t>
  </si>
  <si>
    <t xml:space="preserve">    应付股利</t>
  </si>
  <si>
    <t xml:space="preserve">    其他流动资产</t>
  </si>
  <si>
    <t xml:space="preserve">    其他应付款</t>
  </si>
  <si>
    <t>流动资产合计</t>
  </si>
  <si>
    <t xml:space="preserve">    一年内到期的非流动负债</t>
  </si>
  <si>
    <t>非流动资产：</t>
  </si>
  <si>
    <t xml:space="preserve">     其他流动负债</t>
  </si>
  <si>
    <t xml:space="preserve">    债权投资</t>
  </si>
  <si>
    <t>流动负债合计</t>
  </si>
  <si>
    <t xml:space="preserve">    其他债权投资</t>
  </si>
  <si>
    <t>非流动负债：</t>
  </si>
  <si>
    <t xml:space="preserve">    长期应收款</t>
  </si>
  <si>
    <t xml:space="preserve">    长期借款</t>
  </si>
  <si>
    <t xml:space="preserve">    长期股权投资</t>
  </si>
  <si>
    <t xml:space="preserve">    应付债券</t>
  </si>
  <si>
    <t xml:space="preserve">    其他权益工具投资</t>
  </si>
  <si>
    <t xml:space="preserve">    长期应付款</t>
  </si>
  <si>
    <t xml:space="preserve">    其他非流动金融资产</t>
  </si>
  <si>
    <t xml:space="preserve">    专项应付款</t>
  </si>
  <si>
    <t xml:space="preserve">    投资性房地产</t>
  </si>
  <si>
    <t xml:space="preserve">    预计负债</t>
  </si>
  <si>
    <t xml:space="preserve">    固定资产</t>
  </si>
  <si>
    <t xml:space="preserve">    递延所得税负债</t>
  </si>
  <si>
    <t xml:space="preserve">    在建工程</t>
  </si>
  <si>
    <t xml:space="preserve">    其他非流动负债</t>
  </si>
  <si>
    <t xml:space="preserve">    固定资产清理</t>
  </si>
  <si>
    <t xml:space="preserve">    租赁负债</t>
  </si>
  <si>
    <t xml:space="preserve">    生产性生物资产</t>
  </si>
  <si>
    <t>非流动负债合计</t>
  </si>
  <si>
    <t xml:space="preserve">    油气资产</t>
  </si>
  <si>
    <t>负债合计</t>
  </si>
  <si>
    <t xml:space="preserve">    无形资产</t>
  </si>
  <si>
    <t>所有者权益(或股东权益)：</t>
  </si>
  <si>
    <t xml:space="preserve">    开发支出</t>
  </si>
  <si>
    <t xml:space="preserve">    实收资本(或股本)</t>
  </si>
  <si>
    <t xml:space="preserve">    商誉</t>
  </si>
  <si>
    <t xml:space="preserve">    其他权益工具</t>
  </si>
  <si>
    <t xml:space="preserve">    长期待摊费用</t>
  </si>
  <si>
    <t xml:space="preserve">    资本公积</t>
  </si>
  <si>
    <t xml:space="preserve">    递延所得税资产</t>
  </si>
  <si>
    <t xml:space="preserve">    减：库存股</t>
  </si>
  <si>
    <t xml:space="preserve">    其他非流动资产</t>
  </si>
  <si>
    <t xml:space="preserve">    其他综合收益</t>
  </si>
  <si>
    <t xml:space="preserve">    使用权资产</t>
  </si>
  <si>
    <t xml:space="preserve">    盈余公积</t>
  </si>
  <si>
    <t xml:space="preserve">    未分配利润</t>
  </si>
  <si>
    <t xml:space="preserve">     归属于母公司所有者权益合计</t>
  </si>
  <si>
    <t xml:space="preserve">     少数股东权益</t>
  </si>
  <si>
    <t>非流动资产合计</t>
  </si>
  <si>
    <t>所有者权益(或股东权益)合计</t>
  </si>
  <si>
    <t>资产总计</t>
  </si>
  <si>
    <t>负债和所有者权益(或股东权益)总计</t>
  </si>
  <si>
    <t>利润表</t>
  </si>
  <si>
    <t>项       目</t>
  </si>
  <si>
    <t>2023.12</t>
  </si>
  <si>
    <t>一、营业收入</t>
  </si>
  <si>
    <t xml:space="preserve">    减：营业成本</t>
  </si>
  <si>
    <t xml:space="preserve">        税金及附加</t>
  </si>
  <si>
    <t xml:space="preserve">        销售费用</t>
  </si>
  <si>
    <t xml:space="preserve">        管理费用</t>
  </si>
  <si>
    <t xml:space="preserve">        研发费用</t>
  </si>
  <si>
    <t xml:space="preserve">        财务费用</t>
  </si>
  <si>
    <t xml:space="preserve">        信用减值损失</t>
  </si>
  <si>
    <t xml:space="preserve">   加：公允价值变动收益（损失以"-"填列）</t>
  </si>
  <si>
    <t xml:space="preserve">       投资收益（损失以"-"填列）</t>
  </si>
  <si>
    <t xml:space="preserve">       其中：对联营企业和合营企业的投资收益</t>
  </si>
  <si>
    <t xml:space="preserve">        其他收益</t>
  </si>
  <si>
    <t xml:space="preserve">        资产处置损益</t>
  </si>
  <si>
    <t>二、营业利润（亏损以"－"号填列）</t>
  </si>
  <si>
    <t xml:space="preserve">    加：营业外收入</t>
  </si>
  <si>
    <t xml:space="preserve">    减：营业外支出</t>
  </si>
  <si>
    <t xml:space="preserve">    其中：非流动资产处置损失</t>
  </si>
  <si>
    <t>三、利润总额（亏损总额以"－"号填列）</t>
  </si>
  <si>
    <t xml:space="preserve">    减：所得税费用</t>
  </si>
  <si>
    <t>四、净利润（净亏损以"－"号填列）</t>
  </si>
  <si>
    <t xml:space="preserve">    少数股东损益</t>
  </si>
  <si>
    <t xml:space="preserve">    归属于母公司股东的净利润</t>
  </si>
  <si>
    <t>五、每股收益：</t>
  </si>
  <si>
    <t>（一）基本每股收益</t>
  </si>
  <si>
    <t>（二）稀释每股收益</t>
  </si>
  <si>
    <t>现金流量表</t>
  </si>
  <si>
    <t>项目</t>
  </si>
  <si>
    <t>一、经营活动产生的现金流量：</t>
  </si>
  <si>
    <t xml:space="preserve">    销售商品、提供劳务收到的现金</t>
  </si>
  <si>
    <t xml:space="preserve">    收到的税费返还</t>
  </si>
  <si>
    <t xml:space="preserve">    收到的其他与经营活动有关的现金</t>
  </si>
  <si>
    <t>现金流入小计</t>
  </si>
  <si>
    <t xml:space="preserve">    购买商品、接受劳务支付的现金</t>
  </si>
  <si>
    <t xml:space="preserve">    支付给职工以及为职工支付的现金</t>
  </si>
  <si>
    <t xml:space="preserve">    支付的各项税费</t>
  </si>
  <si>
    <t xml:space="preserve">    支付的其他与经营活动有关的现金</t>
  </si>
  <si>
    <t>现金流出小计</t>
  </si>
  <si>
    <t xml:space="preserve">    经营活动产生的现金流量净额</t>
  </si>
  <si>
    <t>二、投资活动产生的现金流量：</t>
  </si>
  <si>
    <t xml:space="preserve">    收回投资所收到的现金</t>
  </si>
  <si>
    <t xml:space="preserve">    取得投资收益所收到的现金</t>
  </si>
  <si>
    <t xml:space="preserve">    处置固定资产、无形资产和其他长期资产所收回的现金净额</t>
  </si>
  <si>
    <t xml:space="preserve">    收到的其他与投资活动有关的现金</t>
  </si>
  <si>
    <t xml:space="preserve">    购建固定资产、无形资产和其他长期资产所支付的现金</t>
  </si>
  <si>
    <t xml:space="preserve">    投资所支付的现金</t>
  </si>
  <si>
    <t xml:space="preserve">    支付的其他与投资活动有关的现金</t>
  </si>
  <si>
    <t xml:space="preserve">   投资活动产生的现金流量净额</t>
  </si>
  <si>
    <t>三、筹资活动产生的现金流量：</t>
  </si>
  <si>
    <t xml:space="preserve">    吸收投资所收到的现金</t>
  </si>
  <si>
    <t xml:space="preserve">    借款所收到的现金</t>
  </si>
  <si>
    <t xml:space="preserve">    收到的其他与筹资活动有关的现金</t>
  </si>
  <si>
    <t xml:space="preserve">    偿还债务所支付的现金</t>
  </si>
  <si>
    <t xml:space="preserve">    分配股利、利润或偿付利息所支付的现金</t>
  </si>
  <si>
    <t xml:space="preserve">    支付的其他与筹资活动有关的现金</t>
  </si>
  <si>
    <t xml:space="preserve">    筹资活动产生的现金流量净额</t>
  </si>
  <si>
    <t>四、汇率变动对现金的影响</t>
  </si>
  <si>
    <t>五、现金及现金等价物净增加额</t>
  </si>
  <si>
    <t>加：期初现金及现金等价物余额</t>
  </si>
  <si>
    <t>期末现金及现金等价物余额</t>
  </si>
  <si>
    <t>年初余额</t>
    <phoneticPr fontId="19" type="noConversion"/>
  </si>
  <si>
    <t>期末余额</t>
    <phoneticPr fontId="19" type="noConversion"/>
  </si>
  <si>
    <t>2024年金额</t>
    <phoneticPr fontId="19" type="noConversion"/>
  </si>
  <si>
    <t>单位：元</t>
    <phoneticPr fontId="19" type="noConversion"/>
  </si>
  <si>
    <t>2025年</t>
    <phoneticPr fontId="19" type="noConversion"/>
  </si>
  <si>
    <t>2025年金额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</si>
</sst>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76" formatCode="0.00_ "/>
    <numFmt numFmtId="177" formatCode="#,##0.00_ "/>
    <numFmt numFmtId="178" formatCode="yyyy\-mm\-dd;@"/>
    <numFmt numFmtId="179" formatCode="[$-F800]dddd\,\ mmmm\ dd\,\ yyyy"/>
  </numFmts>
  <fonts count="23" x14ac:knownFonts="1">
    <font>
      <sz val="11"/>
      <color theme="1"/>
      <name val="宋体"/>
      <charset val="134"/>
      <scheme val="minor"/>
    </font>
    <font>
      <sz val="11"/>
      <name val="宋体"/>
      <family val="3"/>
      <charset val="134"/>
    </font>
    <font>
      <sz val="12"/>
      <color theme="1"/>
      <name val="宋体"/>
      <family val="3"/>
      <charset val="134"/>
    </font>
    <font>
      <b/>
      <sz val="12"/>
      <color theme="1"/>
      <name val="宋体"/>
      <family val="3"/>
      <charset val="134"/>
    </font>
    <font>
      <sz val="10"/>
      <color theme="1"/>
      <name val="Times New Roman"/>
      <family val="1"/>
    </font>
    <font>
      <sz val="12"/>
      <name val="宋体"/>
      <family val="3"/>
      <charset val="134"/>
    </font>
    <font>
      <b/>
      <sz val="18"/>
      <color theme="1"/>
      <name val="宋体"/>
      <family val="3"/>
      <charset val="134"/>
    </font>
    <font>
      <b/>
      <sz val="12"/>
      <name val="宋体"/>
      <family val="3"/>
      <charset val="134"/>
    </font>
    <font>
      <b/>
      <sz val="12"/>
      <color rgb="FF000000"/>
      <name val="宋体"/>
      <family val="3"/>
      <charset val="134"/>
    </font>
    <font>
      <sz val="22"/>
      <name val="宋体"/>
      <family val="3"/>
      <charset val="134"/>
    </font>
    <font>
      <sz val="10"/>
      <name val="宋体"/>
      <family val="3"/>
      <charset val="134"/>
    </font>
    <font>
      <b/>
      <sz val="22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20"/>
      <name val="宋体"/>
      <family val="3"/>
      <charset val="134"/>
    </font>
    <font>
      <b/>
      <sz val="12"/>
      <name val="黑体"/>
      <family val="3"/>
      <charset val="134"/>
    </font>
    <font>
      <sz val="11"/>
      <color theme="1"/>
      <name val="Arial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name val="黑体"/>
      <family val="3"/>
      <charset val="134"/>
    </font>
    <font>
      <sz val="12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8" fillId="0" borderId="0" xfId="2" applyAlignment="1"/>
    <xf numFmtId="0" fontId="1" fillId="0" borderId="0" xfId="2" applyFont="1">
      <alignment vertical="center"/>
    </xf>
    <xf numFmtId="0" fontId="2" fillId="0" borderId="0" xfId="2" applyFont="1" applyAlignment="1"/>
    <xf numFmtId="0" fontId="3" fillId="0" borderId="0" xfId="2" applyFont="1" applyAlignment="1"/>
    <xf numFmtId="0" fontId="4" fillId="0" borderId="0" xfId="2" applyFont="1">
      <alignment vertical="center"/>
    </xf>
    <xf numFmtId="43" fontId="4" fillId="0" borderId="0" xfId="1" applyFont="1" applyAlignment="1">
      <alignment horizontal="center" vertical="center"/>
    </xf>
    <xf numFmtId="0" fontId="5" fillId="0" borderId="0" xfId="2" applyFont="1">
      <alignment vertical="center"/>
    </xf>
    <xf numFmtId="43" fontId="1" fillId="0" borderId="0" xfId="1" applyFont="1" applyAlignment="1">
      <alignment horizontal="left" vertical="center"/>
    </xf>
    <xf numFmtId="0" fontId="7" fillId="0" borderId="1" xfId="2" applyFont="1" applyBorder="1" applyAlignment="1">
      <alignment horizontal="center" vertical="center"/>
    </xf>
    <xf numFmtId="0" fontId="7" fillId="0" borderId="1" xfId="1" applyNumberFormat="1" applyFont="1" applyBorder="1" applyAlignment="1">
      <alignment horizontal="center" vertical="center"/>
    </xf>
    <xf numFmtId="0" fontId="7" fillId="0" borderId="1" xfId="2" applyFont="1" applyBorder="1">
      <alignment vertical="center"/>
    </xf>
    <xf numFmtId="43" fontId="7" fillId="0" borderId="1" xfId="1" applyFont="1" applyBorder="1" applyAlignment="1">
      <alignment horizontal="center" vertical="center"/>
    </xf>
    <xf numFmtId="0" fontId="2" fillId="0" borderId="1" xfId="2" applyFont="1" applyBorder="1" applyAlignment="1"/>
    <xf numFmtId="0" fontId="5" fillId="0" borderId="1" xfId="2" applyFont="1" applyBorder="1">
      <alignment vertical="center"/>
    </xf>
    <xf numFmtId="43" fontId="5" fillId="0" borderId="1" xfId="1" applyFont="1" applyBorder="1" applyAlignment="1">
      <alignment horizontal="center" vertical="center"/>
    </xf>
    <xf numFmtId="43" fontId="8" fillId="0" borderId="1" xfId="1" applyFont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0" fontId="2" fillId="0" borderId="1" xfId="2" applyFont="1" applyBorder="1">
      <alignment vertical="center"/>
    </xf>
    <xf numFmtId="0" fontId="3" fillId="0" borderId="1" xfId="2" applyFont="1" applyBorder="1">
      <alignment vertical="center"/>
    </xf>
    <xf numFmtId="43" fontId="3" fillId="0" borderId="1" xfId="1" applyFont="1" applyBorder="1" applyAlignment="1">
      <alignment horizontal="center" vertical="center"/>
    </xf>
    <xf numFmtId="0" fontId="9" fillId="0" borderId="0" xfId="0" applyFont="1">
      <alignment vertical="center"/>
    </xf>
    <xf numFmtId="0" fontId="5" fillId="0" borderId="0" xfId="0" applyFont="1">
      <alignment vertical="center"/>
    </xf>
    <xf numFmtId="0" fontId="10" fillId="0" borderId="0" xfId="0" applyFont="1">
      <alignment vertical="center"/>
    </xf>
    <xf numFmtId="49" fontId="12" fillId="0" borderId="0" xfId="0" applyNumberFormat="1" applyFont="1" applyAlignment="1">
      <alignment horizontal="left" vertical="center"/>
    </xf>
    <xf numFmtId="49" fontId="1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justify" vertical="center"/>
    </xf>
    <xf numFmtId="43" fontId="5" fillId="0" borderId="1" xfId="0" applyNumberFormat="1" applyFont="1" applyBorder="1" applyAlignment="1">
      <alignment horizontal="justify" vertical="center"/>
    </xf>
    <xf numFmtId="0" fontId="10" fillId="0" borderId="1" xfId="0" applyFont="1" applyBorder="1">
      <alignment vertical="center"/>
    </xf>
    <xf numFmtId="43" fontId="5" fillId="0" borderId="1" xfId="1" applyFont="1" applyFill="1" applyBorder="1" applyAlignment="1">
      <alignment horizontal="justify" vertical="center"/>
    </xf>
    <xf numFmtId="43" fontId="10" fillId="0" borderId="1" xfId="0" applyNumberFormat="1" applyFont="1" applyBorder="1">
      <alignment vertical="center"/>
    </xf>
    <xf numFmtId="43" fontId="7" fillId="0" borderId="1" xfId="1" applyFont="1" applyFill="1" applyBorder="1" applyAlignment="1">
      <alignment horizontal="center" vertical="center"/>
    </xf>
    <xf numFmtId="0" fontId="5" fillId="0" borderId="0" xfId="0" applyFont="1" applyAlignment="1">
      <alignment horizontal="justify" vertical="center"/>
    </xf>
    <xf numFmtId="49" fontId="14" fillId="0" borderId="0" xfId="0" applyNumberFormat="1" applyFont="1" applyAlignment="1">
      <alignment horizontal="left" vertical="justify"/>
    </xf>
    <xf numFmtId="0" fontId="5" fillId="0" borderId="0" xfId="0" applyFont="1" applyAlignment="1">
      <alignment horizontal="justify" vertical="justify"/>
    </xf>
    <xf numFmtId="43" fontId="7" fillId="0" borderId="1" xfId="1" applyFont="1" applyFill="1" applyBorder="1" applyAlignment="1">
      <alignment horizontal="right" vertical="center"/>
    </xf>
    <xf numFmtId="176" fontId="5" fillId="0" borderId="0" xfId="0" applyNumberFormat="1" applyFont="1" applyAlignment="1">
      <alignment horizontal="left" vertical="center"/>
    </xf>
    <xf numFmtId="176" fontId="10" fillId="0" borderId="0" xfId="0" applyNumberFormat="1" applyFont="1" applyAlignment="1">
      <alignment horizontal="left" vertical="center"/>
    </xf>
    <xf numFmtId="177" fontId="5" fillId="0" borderId="0" xfId="0" applyNumberFormat="1" applyFont="1" applyAlignment="1">
      <alignment horizontal="left" vertical="center"/>
    </xf>
    <xf numFmtId="176" fontId="15" fillId="0" borderId="0" xfId="0" applyNumberFormat="1" applyFont="1" applyAlignment="1">
      <alignment horizontal="centerContinuous" vertical="center"/>
    </xf>
    <xf numFmtId="49" fontId="16" fillId="0" borderId="1" xfId="0" applyNumberFormat="1" applyFont="1" applyBorder="1" applyAlignment="1">
      <alignment horizontal="center" vertical="center"/>
    </xf>
    <xf numFmtId="178" fontId="16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 applyProtection="1">
      <alignment horizontal="left" vertical="center" wrapText="1"/>
      <protection locked="0"/>
    </xf>
    <xf numFmtId="177" fontId="5" fillId="0" borderId="1" xfId="0" applyNumberFormat="1" applyFont="1" applyBorder="1" applyAlignment="1">
      <alignment horizontal="left" vertical="center"/>
    </xf>
    <xf numFmtId="177" fontId="5" fillId="0" borderId="1" xfId="0" applyNumberFormat="1" applyFont="1" applyBorder="1" applyAlignment="1">
      <alignment horizontal="right" vertical="center"/>
    </xf>
    <xf numFmtId="176" fontId="5" fillId="0" borderId="1" xfId="0" applyNumberFormat="1" applyFont="1" applyBorder="1" applyAlignment="1">
      <alignment horizontal="left" vertical="center"/>
    </xf>
    <xf numFmtId="176" fontId="7" fillId="0" borderId="1" xfId="0" applyNumberFormat="1" applyFont="1" applyBorder="1" applyAlignment="1" applyProtection="1">
      <alignment horizontal="left" vertical="center" wrapText="1"/>
      <protection locked="0"/>
    </xf>
    <xf numFmtId="43" fontId="7" fillId="0" borderId="1" xfId="1" applyFont="1" applyFill="1" applyBorder="1" applyAlignment="1" applyProtection="1">
      <alignment horizontal="left" vertical="center" wrapText="1"/>
      <protection locked="0"/>
    </xf>
    <xf numFmtId="49" fontId="12" fillId="0" borderId="0" xfId="0" applyNumberFormat="1" applyFont="1" applyAlignment="1">
      <alignment horizontal="justify" vertical="justify"/>
    </xf>
    <xf numFmtId="177" fontId="12" fillId="0" borderId="0" xfId="0" applyNumberFormat="1" applyFont="1" applyAlignment="1">
      <alignment horizontal="justify" vertical="justify"/>
    </xf>
    <xf numFmtId="177" fontId="10" fillId="0" borderId="0" xfId="0" applyNumberFormat="1" applyFont="1" applyAlignment="1">
      <alignment horizontal="left" vertical="center"/>
    </xf>
    <xf numFmtId="177" fontId="5" fillId="0" borderId="0" xfId="0" applyNumberFormat="1" applyFont="1" applyAlignment="1">
      <alignment horizontal="justify" vertical="justify"/>
    </xf>
    <xf numFmtId="177" fontId="5" fillId="0" borderId="0" xfId="0" applyNumberFormat="1" applyFont="1" applyAlignment="1">
      <alignment horizontal="right" vertical="justify"/>
    </xf>
    <xf numFmtId="177" fontId="16" fillId="0" borderId="1" xfId="0" applyNumberFormat="1" applyFont="1" applyBorder="1" applyAlignment="1">
      <alignment horizontal="center" vertical="center" wrapText="1"/>
    </xf>
    <xf numFmtId="177" fontId="5" fillId="0" borderId="1" xfId="0" applyNumberFormat="1" applyFont="1" applyBorder="1" applyAlignment="1" applyProtection="1">
      <alignment horizontal="left" vertical="center" wrapText="1"/>
      <protection locked="0"/>
    </xf>
    <xf numFmtId="43" fontId="5" fillId="0" borderId="1" xfId="1" applyFont="1" applyBorder="1" applyAlignment="1">
      <alignment horizontal="left" vertical="center"/>
    </xf>
    <xf numFmtId="43" fontId="5" fillId="0" borderId="1" xfId="0" applyNumberFormat="1" applyFont="1" applyBorder="1" applyAlignment="1">
      <alignment horizontal="left" vertical="center"/>
    </xf>
    <xf numFmtId="43" fontId="17" fillId="0" borderId="1" xfId="0" applyNumberFormat="1" applyFont="1" applyBorder="1" applyAlignment="1">
      <alignment horizontal="right" vertical="center"/>
    </xf>
    <xf numFmtId="177" fontId="7" fillId="0" borderId="1" xfId="0" applyNumberFormat="1" applyFont="1" applyBorder="1" applyAlignment="1" applyProtection="1">
      <alignment horizontal="left" vertical="center" wrapText="1"/>
      <protection locked="0"/>
    </xf>
    <xf numFmtId="43" fontId="7" fillId="0" borderId="1" xfId="1" applyFont="1" applyBorder="1" applyAlignment="1">
      <alignment horizontal="right" vertical="center"/>
    </xf>
    <xf numFmtId="177" fontId="5" fillId="0" borderId="0" xfId="0" applyNumberFormat="1" applyFont="1" applyAlignment="1" applyProtection="1">
      <alignment horizontal="left" vertical="center" wrapText="1"/>
      <protection locked="0"/>
    </xf>
    <xf numFmtId="43" fontId="5" fillId="0" borderId="0" xfId="1" applyFont="1" applyFill="1" applyBorder="1" applyAlignment="1" applyProtection="1">
      <alignment horizontal="left" vertical="center" wrapText="1"/>
      <protection locked="0"/>
    </xf>
    <xf numFmtId="43" fontId="10" fillId="0" borderId="0" xfId="1" applyFont="1" applyAlignment="1">
      <alignment horizontal="left" vertical="center"/>
    </xf>
    <xf numFmtId="43" fontId="5" fillId="0" borderId="0" xfId="0" applyNumberFormat="1" applyFont="1" applyAlignment="1">
      <alignment horizontal="left" vertical="center"/>
    </xf>
    <xf numFmtId="178" fontId="20" fillId="0" borderId="1" xfId="0" applyNumberFormat="1" applyFont="1" applyBorder="1" applyAlignment="1">
      <alignment horizontal="center" vertical="center"/>
    </xf>
    <xf numFmtId="43" fontId="10" fillId="0" borderId="0" xfId="0" applyNumberFormat="1" applyFont="1">
      <alignment vertical="center"/>
    </xf>
    <xf numFmtId="0" fontId="21" fillId="0" borderId="0" xfId="0" applyFont="1" applyAlignment="1">
      <alignment horizontal="right" vertical="center"/>
    </xf>
    <xf numFmtId="0" fontId="22" fillId="0" borderId="0" xfId="2" applyFont="1" applyAlignment="1">
      <alignment horizontal="right" vertical="center"/>
    </xf>
    <xf numFmtId="179" fontId="5" fillId="0" borderId="0" xfId="0" applyNumberFormat="1" applyFont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3" fillId="0" borderId="1" xfId="2" applyFont="1" applyBorder="1" applyAlignment="1">
      <alignment horizontal="center"/>
    </xf>
    <xf numFmtId="176" fontId="21" fillId="0" borderId="0" xfId="0" applyNumberFormat="1" applyFont="1" applyAlignment="1">
      <alignment horizontal="center" vertical="center"/>
    </xf>
    <xf numFmtId="176" fontId="15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0" xfId="2" applyFont="1" applyAlignment="1">
      <alignment horizontal="center" vertical="center"/>
    </xf>
  </cellXfs>
  <cellStyles count="4">
    <cellStyle name="常规" xfId="0" builtinId="0"/>
    <cellStyle name="常规 2" xfId="2" xr:uid="{00000000-0005-0000-0000-000031000000}"/>
    <cellStyle name="千位分隔" xfId="1" builtinId="3"/>
    <cellStyle name="千位分隔 2" xfId="3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74"/>
  <sheetViews>
    <sheetView topLeftCell="A24" zoomScale="90" zoomScaleNormal="90" workbookViewId="0">
      <selection activeCell="P36" sqref="P36"/>
    </sheetView>
  </sheetViews>
  <sheetFormatPr defaultColWidth="10" defaultRowHeight="15.6" outlineLevelRow="2" x14ac:dyDescent="0.25"/>
  <cols>
    <col min="1" max="1" width="30.5546875" style="36" customWidth="1"/>
    <col min="2" max="2" width="22" style="38" customWidth="1"/>
    <col min="3" max="13" width="22" style="38" hidden="1" customWidth="1"/>
    <col min="14" max="14" width="22" style="38" customWidth="1"/>
    <col min="15" max="15" width="30.33203125" style="38" customWidth="1"/>
    <col min="16" max="16" width="23.109375" style="36" customWidth="1"/>
    <col min="17" max="26" width="23.109375" style="36" hidden="1" customWidth="1"/>
    <col min="27" max="27" width="22.5546875" style="36" hidden="1" customWidth="1"/>
    <col min="28" max="28" width="23.5546875" style="36" customWidth="1"/>
    <col min="29" max="29" width="10" style="36"/>
    <col min="30" max="30" width="17.88671875" style="36" bestFit="1" customWidth="1"/>
    <col min="31" max="225" width="10" style="36"/>
    <col min="226" max="16384" width="10" style="22"/>
  </cols>
  <sheetData>
    <row r="1" spans="1:239" s="36" customFormat="1" ht="33.9" customHeight="1" x14ac:dyDescent="0.25">
      <c r="A1" s="72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</row>
    <row r="2" spans="1:239" ht="32.4" customHeight="1" x14ac:dyDescent="0.25">
      <c r="A2" s="36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68">
        <v>46022</v>
      </c>
      <c r="O2" s="51"/>
      <c r="P2" s="52"/>
      <c r="AB2" s="71" t="s">
        <v>144</v>
      </c>
    </row>
    <row r="3" spans="1:239" ht="30" customHeight="1" outlineLevel="2" x14ac:dyDescent="0.25">
      <c r="A3" s="40" t="s">
        <v>2</v>
      </c>
      <c r="B3" s="64" t="s">
        <v>141</v>
      </c>
      <c r="C3" s="41">
        <v>45322</v>
      </c>
      <c r="D3" s="41">
        <v>45351</v>
      </c>
      <c r="E3" s="41">
        <v>45382</v>
      </c>
      <c r="F3" s="41">
        <v>45412</v>
      </c>
      <c r="G3" s="41">
        <v>45443</v>
      </c>
      <c r="H3" s="41">
        <v>45473</v>
      </c>
      <c r="I3" s="41">
        <v>45504</v>
      </c>
      <c r="J3" s="41">
        <v>45535</v>
      </c>
      <c r="K3" s="41">
        <v>45565</v>
      </c>
      <c r="L3" s="41">
        <v>45596</v>
      </c>
      <c r="M3" s="41">
        <v>45626</v>
      </c>
      <c r="N3" s="64" t="s">
        <v>142</v>
      </c>
      <c r="O3" s="53" t="s">
        <v>3</v>
      </c>
      <c r="P3" s="64" t="s">
        <v>141</v>
      </c>
      <c r="Q3" s="41">
        <v>45322</v>
      </c>
      <c r="R3" s="41">
        <v>45351</v>
      </c>
      <c r="S3" s="41">
        <v>45382</v>
      </c>
      <c r="T3" s="41">
        <v>45412</v>
      </c>
      <c r="U3" s="41">
        <v>45443</v>
      </c>
      <c r="V3" s="41">
        <v>45473</v>
      </c>
      <c r="W3" s="41">
        <v>45504</v>
      </c>
      <c r="X3" s="41">
        <v>45535</v>
      </c>
      <c r="Y3" s="41">
        <v>45565</v>
      </c>
      <c r="Z3" s="41">
        <v>45596</v>
      </c>
      <c r="AA3" s="41">
        <v>45626</v>
      </c>
      <c r="AB3" s="64" t="s">
        <v>142</v>
      </c>
    </row>
    <row r="4" spans="1:239" s="36" customFormat="1" ht="15" customHeight="1" outlineLevel="2" x14ac:dyDescent="0.25">
      <c r="A4" s="42" t="s">
        <v>4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54" t="s">
        <v>5</v>
      </c>
      <c r="P4" s="5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</row>
    <row r="5" spans="1:239" s="36" customFormat="1" ht="15" customHeight="1" outlineLevel="2" x14ac:dyDescent="0.25">
      <c r="A5" s="42" t="s">
        <v>6</v>
      </c>
      <c r="B5" s="57">
        <v>2003894.3373799999</v>
      </c>
      <c r="C5" s="44">
        <v>366273.38768799999</v>
      </c>
      <c r="D5" s="44">
        <v>2170277.6986119999</v>
      </c>
      <c r="E5" s="44">
        <v>3145791.8353260001</v>
      </c>
      <c r="F5" s="44">
        <v>16286129.69785</v>
      </c>
      <c r="G5" s="44">
        <v>5399410.8245120002</v>
      </c>
      <c r="H5" s="44">
        <v>2905334.031256</v>
      </c>
      <c r="I5" s="44">
        <v>1839632.415575</v>
      </c>
      <c r="J5" s="44">
        <v>2531802.9021800002</v>
      </c>
      <c r="K5" s="44">
        <v>1890760.913928</v>
      </c>
      <c r="L5" s="44">
        <v>1831162.4332079999</v>
      </c>
      <c r="M5" s="44">
        <v>2127815.2007590001</v>
      </c>
      <c r="N5" s="57">
        <v>2197297.7540100003</v>
      </c>
      <c r="O5" s="54" t="s">
        <v>7</v>
      </c>
      <c r="P5" s="55"/>
      <c r="Q5" s="45"/>
      <c r="R5" s="45"/>
      <c r="S5" s="45"/>
      <c r="T5" s="45"/>
      <c r="U5" s="45"/>
      <c r="V5" s="45"/>
      <c r="W5" s="45"/>
      <c r="X5" s="45"/>
      <c r="Y5" s="45"/>
      <c r="Z5" s="44"/>
      <c r="AA5" s="45"/>
      <c r="AB5" s="45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</row>
    <row r="6" spans="1:239" s="36" customFormat="1" ht="15" customHeight="1" outlineLevel="2" x14ac:dyDescent="0.25">
      <c r="A6" s="42" t="s">
        <v>8</v>
      </c>
      <c r="B6" s="44"/>
      <c r="C6" s="44"/>
      <c r="D6" s="44"/>
      <c r="E6" s="44"/>
      <c r="F6" s="44"/>
      <c r="G6" s="44"/>
      <c r="H6" s="44"/>
      <c r="I6" s="44">
        <v>0</v>
      </c>
      <c r="J6" s="44"/>
      <c r="K6" s="44"/>
      <c r="L6" s="44"/>
      <c r="M6" s="44"/>
      <c r="N6" s="44"/>
      <c r="O6" s="54" t="s">
        <v>9</v>
      </c>
      <c r="P6" s="55"/>
      <c r="Q6" s="45"/>
      <c r="R6" s="45"/>
      <c r="S6" s="45"/>
      <c r="T6" s="45"/>
      <c r="U6" s="45"/>
      <c r="V6" s="45"/>
      <c r="W6" s="45"/>
      <c r="X6" s="45"/>
      <c r="Y6" s="45"/>
      <c r="Z6" s="44"/>
      <c r="AA6" s="45"/>
      <c r="AB6" s="45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</row>
    <row r="7" spans="1:239" s="36" customFormat="1" ht="15" customHeight="1" outlineLevel="2" x14ac:dyDescent="0.25">
      <c r="A7" s="42" t="s">
        <v>10</v>
      </c>
      <c r="B7" s="44"/>
      <c r="C7" s="44"/>
      <c r="D7" s="44"/>
      <c r="F7" s="44"/>
      <c r="G7" s="44"/>
      <c r="H7" s="44"/>
      <c r="I7" s="44">
        <v>0</v>
      </c>
      <c r="J7" s="44"/>
      <c r="K7" s="44"/>
      <c r="L7" s="44"/>
      <c r="M7" s="44"/>
      <c r="N7" s="44"/>
      <c r="O7" s="54" t="s">
        <v>11</v>
      </c>
      <c r="P7" s="55"/>
      <c r="Q7" s="45"/>
      <c r="R7" s="45"/>
      <c r="S7" s="45"/>
      <c r="T7" s="45"/>
      <c r="U7" s="45"/>
      <c r="V7" s="45"/>
      <c r="W7" s="45"/>
      <c r="X7" s="45"/>
      <c r="Y7" s="45"/>
      <c r="Z7" s="44"/>
      <c r="AA7" s="45"/>
      <c r="AB7" s="45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</row>
    <row r="8" spans="1:239" s="36" customFormat="1" ht="15" customHeight="1" outlineLevel="2" x14ac:dyDescent="0.25">
      <c r="A8" s="42" t="s">
        <v>12</v>
      </c>
      <c r="B8" s="44"/>
      <c r="C8" s="44"/>
      <c r="D8" s="44"/>
      <c r="E8" s="44"/>
      <c r="F8" s="44"/>
      <c r="G8" s="44"/>
      <c r="H8" s="44"/>
      <c r="I8" s="44">
        <v>0</v>
      </c>
      <c r="J8" s="44"/>
      <c r="K8" s="44"/>
      <c r="L8" s="44"/>
      <c r="M8" s="44"/>
      <c r="N8" s="44"/>
      <c r="O8" s="54" t="s">
        <v>13</v>
      </c>
      <c r="P8" s="55"/>
      <c r="Q8" s="45"/>
      <c r="R8" s="45"/>
      <c r="S8" s="45"/>
      <c r="T8" s="45"/>
      <c r="U8" s="45"/>
      <c r="V8" s="45"/>
      <c r="W8" s="45"/>
      <c r="X8" s="45"/>
      <c r="Y8" s="45"/>
      <c r="Z8" s="44"/>
      <c r="AA8" s="45"/>
      <c r="AB8" s="45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</row>
    <row r="9" spans="1:239" s="36" customFormat="1" ht="15" customHeight="1" outlineLevel="2" x14ac:dyDescent="0.25">
      <c r="A9" s="42" t="s">
        <v>14</v>
      </c>
      <c r="B9" s="44"/>
      <c r="C9" s="44">
        <v>360000</v>
      </c>
      <c r="D9" s="44">
        <v>360000</v>
      </c>
      <c r="E9" s="44">
        <v>360000</v>
      </c>
      <c r="F9" s="44">
        <v>360000</v>
      </c>
      <c r="G9" s="44">
        <v>360000</v>
      </c>
      <c r="H9" s="44">
        <v>360000</v>
      </c>
      <c r="I9" s="44">
        <v>360000</v>
      </c>
      <c r="J9" s="44">
        <v>200000</v>
      </c>
      <c r="K9" s="44">
        <v>200000</v>
      </c>
      <c r="L9" s="44">
        <v>200000</v>
      </c>
      <c r="M9" s="44"/>
      <c r="N9" s="44">
        <v>24.63</v>
      </c>
      <c r="O9" s="54" t="s">
        <v>15</v>
      </c>
      <c r="P9" s="44">
        <v>61835428.292458005</v>
      </c>
      <c r="Q9" s="56">
        <v>64896319.079999998</v>
      </c>
      <c r="R9" s="56">
        <v>64906592.850000001</v>
      </c>
      <c r="S9" s="56">
        <v>64938752.810000002</v>
      </c>
      <c r="T9" s="56">
        <v>65199762.729999997</v>
      </c>
      <c r="U9" s="56">
        <v>60347153.57</v>
      </c>
      <c r="V9" s="56">
        <v>60764080.82</v>
      </c>
      <c r="W9" s="56">
        <v>61524550.439999998</v>
      </c>
      <c r="X9" s="56">
        <v>61629667.890000001</v>
      </c>
      <c r="Y9" s="56">
        <v>61710072.18</v>
      </c>
      <c r="Z9" s="44">
        <v>63055688.380000003</v>
      </c>
      <c r="AA9" s="44">
        <v>62392323.740000002</v>
      </c>
      <c r="AB9" s="44">
        <v>57744798.979999997</v>
      </c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</row>
    <row r="10" spans="1:239" s="36" customFormat="1" ht="15" customHeight="1" outlineLevel="2" x14ac:dyDescent="0.25">
      <c r="A10" s="42" t="s">
        <v>16</v>
      </c>
      <c r="B10" s="44">
        <v>356252</v>
      </c>
      <c r="C10" s="44">
        <v>486733.97</v>
      </c>
      <c r="D10" s="44">
        <v>497888.14</v>
      </c>
      <c r="E10" s="44">
        <v>493685.14</v>
      </c>
      <c r="F10" s="44">
        <v>574243.64</v>
      </c>
      <c r="G10" s="44">
        <v>578038.14</v>
      </c>
      <c r="H10" s="44">
        <v>554062.14</v>
      </c>
      <c r="I10" s="44">
        <v>421301.64</v>
      </c>
      <c r="J10" s="44">
        <v>604368.38</v>
      </c>
      <c r="K10" s="57">
        <v>444294.83</v>
      </c>
      <c r="L10" s="44">
        <v>398431.8</v>
      </c>
      <c r="M10" s="44">
        <v>384036.87</v>
      </c>
      <c r="N10" s="44">
        <v>557082.9</v>
      </c>
      <c r="O10" s="54" t="s">
        <v>17</v>
      </c>
      <c r="P10" s="45"/>
      <c r="Q10" s="56"/>
      <c r="R10" s="56"/>
      <c r="S10" s="45"/>
      <c r="T10" s="45"/>
      <c r="U10" s="56">
        <v>0</v>
      </c>
      <c r="V10" s="45"/>
      <c r="W10" s="56"/>
      <c r="X10" s="45"/>
      <c r="Y10" s="45"/>
      <c r="Z10" s="44"/>
      <c r="AA10" s="44"/>
      <c r="AB10" s="45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</row>
    <row r="11" spans="1:239" s="36" customFormat="1" ht="15" customHeight="1" outlineLevel="2" x14ac:dyDescent="0.25">
      <c r="A11" s="45" t="s">
        <v>18</v>
      </c>
      <c r="B11" s="44"/>
      <c r="C11" s="44"/>
      <c r="D11" s="44"/>
      <c r="E11" s="44"/>
      <c r="F11" s="44"/>
      <c r="G11" s="44"/>
      <c r="H11" s="44"/>
      <c r="I11" s="44">
        <v>0</v>
      </c>
      <c r="J11" s="44"/>
      <c r="K11" s="44"/>
      <c r="L11" s="44"/>
      <c r="M11" s="44"/>
      <c r="N11" s="44"/>
      <c r="O11" s="54" t="s">
        <v>19</v>
      </c>
      <c r="P11" s="45"/>
      <c r="Q11" s="56"/>
      <c r="R11" s="63"/>
      <c r="S11" s="45"/>
      <c r="T11" s="45"/>
      <c r="U11" s="56"/>
      <c r="V11" s="45"/>
      <c r="W11" s="56"/>
      <c r="X11" s="45"/>
      <c r="Y11" s="45"/>
      <c r="Z11" s="44"/>
      <c r="AA11" s="44"/>
      <c r="AB11" s="45"/>
      <c r="HR11" s="22"/>
      <c r="HS11" s="22"/>
      <c r="HT11" s="22"/>
      <c r="HU11" s="22"/>
      <c r="HV11" s="22"/>
      <c r="HW11" s="22"/>
      <c r="HX11" s="22"/>
      <c r="HY11" s="22"/>
      <c r="HZ11" s="22"/>
    </row>
    <row r="12" spans="1:239" s="36" customFormat="1" ht="15" customHeight="1" outlineLevel="2" x14ac:dyDescent="0.25">
      <c r="A12" s="45" t="s">
        <v>20</v>
      </c>
      <c r="B12" s="44"/>
      <c r="C12" s="44"/>
      <c r="D12" s="44"/>
      <c r="E12" s="44"/>
      <c r="F12" s="44"/>
      <c r="G12" s="44"/>
      <c r="H12" s="44"/>
      <c r="I12" s="44">
        <v>0</v>
      </c>
      <c r="J12" s="44"/>
      <c r="K12" s="44"/>
      <c r="L12" s="44"/>
      <c r="M12" s="44"/>
      <c r="N12" s="44"/>
      <c r="O12" s="54" t="s">
        <v>21</v>
      </c>
      <c r="P12" s="44">
        <v>6551900.9506720006</v>
      </c>
      <c r="Q12" s="56">
        <v>4248311.8115839995</v>
      </c>
      <c r="R12" s="56">
        <v>4321774.6505920002</v>
      </c>
      <c r="S12" s="56">
        <v>3008234.3632040001</v>
      </c>
      <c r="T12" s="56">
        <v>3372456.8691799999</v>
      </c>
      <c r="U12" s="56">
        <v>3294059.4681759998</v>
      </c>
      <c r="V12" s="56">
        <v>3549785.9851060002</v>
      </c>
      <c r="W12" s="56">
        <v>5182475.0464770002</v>
      </c>
      <c r="X12" s="56">
        <v>5114922.9154359996</v>
      </c>
      <c r="Y12" s="56">
        <v>5929044.7749239998</v>
      </c>
      <c r="Z12" s="44">
        <v>7658853.0248830002</v>
      </c>
      <c r="AA12" s="44">
        <v>7511578.8622730002</v>
      </c>
      <c r="AB12" s="44">
        <v>12392270.142844001</v>
      </c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</row>
    <row r="13" spans="1:239" s="36" customFormat="1" ht="15" customHeight="1" outlineLevel="2" x14ac:dyDescent="0.25">
      <c r="A13" s="42" t="s">
        <v>22</v>
      </c>
      <c r="B13" s="44">
        <v>2868557.8960700035</v>
      </c>
      <c r="C13" s="44">
        <v>2864570.2481630002</v>
      </c>
      <c r="D13" s="44">
        <v>2977861.5322520002</v>
      </c>
      <c r="E13" s="44">
        <v>2791340.7967440002</v>
      </c>
      <c r="F13" s="44">
        <v>2707462.5146349999</v>
      </c>
      <c r="G13" s="44">
        <v>2860245.49520001</v>
      </c>
      <c r="H13" s="44">
        <v>2640256.2671360099</v>
      </c>
      <c r="I13" s="44">
        <v>2850686.3773840098</v>
      </c>
      <c r="J13" s="44">
        <v>2777459.2522240099</v>
      </c>
      <c r="K13" s="44">
        <v>2785298.8770880001</v>
      </c>
      <c r="L13" s="44">
        <v>2931421.5579499998</v>
      </c>
      <c r="M13" s="44">
        <v>3038850.87839399</v>
      </c>
      <c r="N13" s="44">
        <v>7410015.6670680046</v>
      </c>
      <c r="O13" s="54" t="s">
        <v>23</v>
      </c>
      <c r="P13" s="44">
        <v>612627.44819400029</v>
      </c>
      <c r="Q13" s="56">
        <v>0.3</v>
      </c>
      <c r="R13" s="56">
        <v>155053.24178400001</v>
      </c>
      <c r="S13" s="56">
        <v>429814.29697999998</v>
      </c>
      <c r="T13" s="56">
        <v>323350.91824000003</v>
      </c>
      <c r="U13" s="56">
        <v>250983.53625599999</v>
      </c>
      <c r="V13" s="56">
        <v>334431.44507000002</v>
      </c>
      <c r="W13" s="56">
        <v>89759.900315000006</v>
      </c>
      <c r="X13" s="56">
        <v>44020.709940000001</v>
      </c>
      <c r="Y13" s="56">
        <v>154654.29416400101</v>
      </c>
      <c r="Z13" s="44">
        <v>63966.236212999996</v>
      </c>
      <c r="AA13" s="44">
        <v>293591.27026700001</v>
      </c>
      <c r="AB13" s="44">
        <v>619687.48441000003</v>
      </c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</row>
    <row r="14" spans="1:239" s="36" customFormat="1" ht="15" customHeight="1" outlineLevel="2" x14ac:dyDescent="0.25">
      <c r="A14" s="42" t="s">
        <v>24</v>
      </c>
      <c r="B14" s="44">
        <v>6126756.7000000002</v>
      </c>
      <c r="C14" s="44">
        <v>7061743.1500000004</v>
      </c>
      <c r="D14" s="44">
        <v>7045985.4000000004</v>
      </c>
      <c r="E14" s="44">
        <v>7028061.9699999997</v>
      </c>
      <c r="F14" s="44">
        <v>6988910.8300000001</v>
      </c>
      <c r="G14" s="44">
        <v>6497260.54</v>
      </c>
      <c r="H14" s="44">
        <v>6490052.54</v>
      </c>
      <c r="I14" s="44">
        <v>6488402.54</v>
      </c>
      <c r="J14" s="44">
        <v>6488134.54</v>
      </c>
      <c r="K14" s="44">
        <v>6480773.3399999999</v>
      </c>
      <c r="L14" s="44">
        <v>6480381.5899999999</v>
      </c>
      <c r="M14" s="44">
        <v>6382018.75</v>
      </c>
      <c r="N14" s="44">
        <v>6126756.3600000003</v>
      </c>
      <c r="O14" s="43" t="s">
        <v>25</v>
      </c>
      <c r="P14" s="44"/>
      <c r="Q14" s="56">
        <v>430745.2</v>
      </c>
      <c r="R14" s="56">
        <v>540826.02</v>
      </c>
      <c r="S14" s="56">
        <v>95867.12</v>
      </c>
      <c r="T14" s="56">
        <v>213713.7</v>
      </c>
      <c r="U14" s="56">
        <v>364752.05</v>
      </c>
      <c r="V14" s="56">
        <v>0</v>
      </c>
      <c r="W14" s="56">
        <v>155764.38</v>
      </c>
      <c r="X14" s="56">
        <v>317975.06</v>
      </c>
      <c r="Y14" s="56">
        <v>96410.96</v>
      </c>
      <c r="Z14" s="44">
        <v>263507.03999999998</v>
      </c>
      <c r="AA14" s="44">
        <v>435713.61</v>
      </c>
      <c r="AB14" s="44">
        <v>43672.34</v>
      </c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</row>
    <row r="15" spans="1:239" s="36" customFormat="1" ht="15" customHeight="1" outlineLevel="2" x14ac:dyDescent="0.25">
      <c r="A15" s="42" t="s">
        <v>26</v>
      </c>
      <c r="B15" s="44"/>
      <c r="C15" s="44"/>
      <c r="D15" s="44"/>
      <c r="E15" s="44"/>
      <c r="F15" s="44"/>
      <c r="G15" s="44"/>
      <c r="H15" s="44"/>
      <c r="I15" s="44">
        <v>0</v>
      </c>
      <c r="J15" s="44"/>
      <c r="K15" s="44"/>
      <c r="L15" s="44"/>
      <c r="M15" s="44"/>
      <c r="N15" s="44"/>
      <c r="O15" s="43" t="s">
        <v>27</v>
      </c>
      <c r="P15" s="44"/>
      <c r="Q15" s="56"/>
      <c r="R15" s="56"/>
      <c r="S15" s="56"/>
      <c r="T15" s="56"/>
      <c r="U15" s="56">
        <v>0</v>
      </c>
      <c r="V15" s="45"/>
      <c r="W15" s="56">
        <v>0</v>
      </c>
      <c r="X15" s="56"/>
      <c r="Y15" s="45"/>
      <c r="Z15" s="44"/>
      <c r="AA15" s="44"/>
      <c r="AB15" s="44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</row>
    <row r="16" spans="1:239" s="36" customFormat="1" ht="15" customHeight="1" outlineLevel="2" x14ac:dyDescent="0.25">
      <c r="A16" s="42" t="s">
        <v>28</v>
      </c>
      <c r="B16" s="44">
        <v>17586384.809999995</v>
      </c>
      <c r="C16" s="44">
        <v>16885618.52</v>
      </c>
      <c r="D16" s="44">
        <v>16853354.829999998</v>
      </c>
      <c r="E16" s="44">
        <v>16791054.649999999</v>
      </c>
      <c r="F16" s="44">
        <v>16467357.630000001</v>
      </c>
      <c r="G16" s="44">
        <v>16442809.92</v>
      </c>
      <c r="H16" s="44">
        <v>16633076.25</v>
      </c>
      <c r="I16" s="44">
        <v>16607559.32</v>
      </c>
      <c r="J16" s="44">
        <v>17575658.879999999</v>
      </c>
      <c r="K16" s="44">
        <v>17605979.440000001</v>
      </c>
      <c r="L16" s="44">
        <v>17577988.120000001</v>
      </c>
      <c r="M16" s="44">
        <v>17625108.879999999</v>
      </c>
      <c r="N16" s="44">
        <v>16082212.92</v>
      </c>
      <c r="O16" s="54" t="s">
        <v>29</v>
      </c>
      <c r="P16" s="44">
        <f>190481501.99-1720</f>
        <v>190479781.99000001</v>
      </c>
      <c r="Q16" s="56">
        <v>149948232.55000001</v>
      </c>
      <c r="R16" s="56">
        <v>154688593.41999999</v>
      </c>
      <c r="S16" s="56">
        <v>160238134.53</v>
      </c>
      <c r="T16" s="56">
        <v>177527076.84</v>
      </c>
      <c r="U16" s="56">
        <v>174967982.46000001</v>
      </c>
      <c r="V16" s="56">
        <v>175906594.72999999</v>
      </c>
      <c r="W16" s="56">
        <v>176293747.55000001</v>
      </c>
      <c r="X16" s="56">
        <v>179079085.87</v>
      </c>
      <c r="Y16" s="56">
        <v>181533177.38999999</v>
      </c>
      <c r="Z16" s="44">
        <v>182148716.81999999</v>
      </c>
      <c r="AA16" s="44">
        <v>186546982.03999999</v>
      </c>
      <c r="AB16" s="44">
        <v>217698653.55999997</v>
      </c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</row>
    <row r="17" spans="1:239" s="36" customFormat="1" ht="15" customHeight="1" outlineLevel="2" x14ac:dyDescent="0.25">
      <c r="A17" s="46" t="s">
        <v>30</v>
      </c>
      <c r="B17" s="47">
        <f t="shared" ref="B17:N17" si="0">SUM(B5:B16)</f>
        <v>28941845.743449997</v>
      </c>
      <c r="C17" s="47">
        <f t="shared" si="0"/>
        <v>28024939.275851</v>
      </c>
      <c r="D17" s="47">
        <f t="shared" si="0"/>
        <v>29905367.600864001</v>
      </c>
      <c r="E17" s="47">
        <f t="shared" si="0"/>
        <v>30609934.392069999</v>
      </c>
      <c r="F17" s="47">
        <f t="shared" si="0"/>
        <v>43384104.312485002</v>
      </c>
      <c r="G17" s="47">
        <f t="shared" si="0"/>
        <v>32137764.919712007</v>
      </c>
      <c r="H17" s="47">
        <f t="shared" si="0"/>
        <v>29582781.228392009</v>
      </c>
      <c r="I17" s="47">
        <f t="shared" si="0"/>
        <v>28567582.292959012</v>
      </c>
      <c r="J17" s="47">
        <f t="shared" si="0"/>
        <v>30177423.954404008</v>
      </c>
      <c r="K17" s="47">
        <f t="shared" si="0"/>
        <v>29407107.401016001</v>
      </c>
      <c r="L17" s="47">
        <f t="shared" si="0"/>
        <v>29419385.501157999</v>
      </c>
      <c r="M17" s="47">
        <f t="shared" si="0"/>
        <v>29557830.57915299</v>
      </c>
      <c r="N17" s="47">
        <f t="shared" si="0"/>
        <v>32373390.231078006</v>
      </c>
      <c r="O17" s="54" t="s">
        <v>31</v>
      </c>
      <c r="P17" s="45"/>
      <c r="Q17" s="55"/>
      <c r="R17" s="55"/>
      <c r="S17" s="55"/>
      <c r="T17" s="55"/>
      <c r="U17" s="56">
        <v>0</v>
      </c>
      <c r="V17" s="45"/>
      <c r="W17" s="56">
        <v>0</v>
      </c>
      <c r="X17" s="56"/>
      <c r="Y17" s="45"/>
      <c r="Z17" s="44"/>
      <c r="AA17" s="44"/>
      <c r="AB17" s="45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</row>
    <row r="18" spans="1:239" s="36" customFormat="1" ht="15" customHeight="1" outlineLevel="2" x14ac:dyDescent="0.25">
      <c r="A18" s="42" t="s">
        <v>32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54" t="s">
        <v>33</v>
      </c>
      <c r="P18" s="44">
        <v>1965783</v>
      </c>
      <c r="Q18" s="56">
        <v>1965783</v>
      </c>
      <c r="R18" s="56">
        <v>1965783</v>
      </c>
      <c r="S18" s="56">
        <v>1965783</v>
      </c>
      <c r="T18" s="56">
        <v>1965783</v>
      </c>
      <c r="U18" s="56">
        <v>1965783</v>
      </c>
      <c r="V18" s="56">
        <v>1965783</v>
      </c>
      <c r="W18" s="56">
        <v>1965783</v>
      </c>
      <c r="X18" s="56">
        <v>1965783</v>
      </c>
      <c r="Y18" s="56">
        <v>1965783</v>
      </c>
      <c r="Z18" s="44">
        <v>1965783</v>
      </c>
      <c r="AA18" s="44">
        <v>1965783</v>
      </c>
      <c r="AB18" s="44">
        <v>1965783</v>
      </c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</row>
    <row r="19" spans="1:239" s="36" customFormat="1" ht="15" customHeight="1" outlineLevel="2" x14ac:dyDescent="0.25">
      <c r="A19" s="42" t="s">
        <v>34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58" t="s">
        <v>35</v>
      </c>
      <c r="P19" s="35">
        <f t="shared" ref="P19:AB19" si="1">SUM(P5:P18)</f>
        <v>261445521.68132401</v>
      </c>
      <c r="Q19" s="35">
        <f t="shared" si="1"/>
        <v>221489391.94158399</v>
      </c>
      <c r="R19" s="35">
        <f t="shared" si="1"/>
        <v>226578623.182376</v>
      </c>
      <c r="S19" s="35">
        <f t="shared" si="1"/>
        <v>230676586.120184</v>
      </c>
      <c r="T19" s="35">
        <f t="shared" si="1"/>
        <v>248602144.05742002</v>
      </c>
      <c r="U19" s="35">
        <f t="shared" si="1"/>
        <v>241190714.08443201</v>
      </c>
      <c r="V19" s="35">
        <f t="shared" si="1"/>
        <v>242520675.98017597</v>
      </c>
      <c r="W19" s="35">
        <f t="shared" si="1"/>
        <v>245212080.31679201</v>
      </c>
      <c r="X19" s="35">
        <f t="shared" si="1"/>
        <v>248151455.44537601</v>
      </c>
      <c r="Y19" s="35">
        <f t="shared" si="1"/>
        <v>251389142.59908798</v>
      </c>
      <c r="Z19" s="35">
        <f t="shared" si="1"/>
        <v>255156514.50109601</v>
      </c>
      <c r="AA19" s="35">
        <f t="shared" si="1"/>
        <v>259145972.52253997</v>
      </c>
      <c r="AB19" s="35">
        <f t="shared" si="1"/>
        <v>290464865.507254</v>
      </c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</row>
    <row r="20" spans="1:239" s="36" customFormat="1" ht="15" customHeight="1" outlineLevel="2" x14ac:dyDescent="0.25">
      <c r="A20" s="42" t="s">
        <v>36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54" t="s">
        <v>37</v>
      </c>
      <c r="P20" s="55"/>
      <c r="Q20" s="45"/>
      <c r="R20" s="45"/>
      <c r="S20" s="45"/>
      <c r="T20" s="45"/>
      <c r="U20" s="45"/>
      <c r="V20" s="45"/>
      <c r="W20" s="45"/>
      <c r="X20" s="45"/>
      <c r="Y20" s="45"/>
      <c r="Z20" s="44"/>
      <c r="AA20" s="45"/>
      <c r="AB20" s="45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</row>
    <row r="21" spans="1:239" s="36" customFormat="1" ht="15" customHeight="1" outlineLevel="2" x14ac:dyDescent="0.25">
      <c r="A21" s="42" t="s">
        <v>38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54" t="s">
        <v>39</v>
      </c>
      <c r="P21" s="55"/>
      <c r="Q21" s="45"/>
      <c r="R21" s="45"/>
      <c r="S21" s="45"/>
      <c r="T21" s="45"/>
      <c r="U21" s="45"/>
      <c r="V21" s="45"/>
      <c r="W21" s="45"/>
      <c r="X21" s="45"/>
      <c r="Y21" s="45"/>
      <c r="Z21" s="44"/>
      <c r="AA21" s="45"/>
      <c r="AB21" s="45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</row>
    <row r="22" spans="1:239" s="36" customFormat="1" ht="15" customHeight="1" outlineLevel="2" x14ac:dyDescent="0.25">
      <c r="A22" s="42" t="s">
        <v>40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54" t="s">
        <v>41</v>
      </c>
      <c r="P22" s="55"/>
      <c r="Q22" s="45"/>
      <c r="R22" s="45"/>
      <c r="S22" s="45"/>
      <c r="T22" s="45"/>
      <c r="U22" s="45"/>
      <c r="V22" s="45"/>
      <c r="W22" s="45"/>
      <c r="X22" s="45"/>
      <c r="Y22" s="45"/>
      <c r="Z22" s="44"/>
      <c r="AA22" s="45"/>
      <c r="AB22" s="45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</row>
    <row r="23" spans="1:239" s="36" customFormat="1" ht="15" customHeight="1" outlineLevel="2" x14ac:dyDescent="0.25">
      <c r="A23" s="42" t="s">
        <v>42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54" t="s">
        <v>43</v>
      </c>
      <c r="P23" s="44">
        <v>575838.69260399998</v>
      </c>
      <c r="Q23" s="56">
        <v>606342.24725400005</v>
      </c>
      <c r="R23" s="56">
        <v>599215.24850400002</v>
      </c>
      <c r="S23" s="56">
        <v>601381.85612400004</v>
      </c>
      <c r="T23" s="56">
        <v>595874.11149000004</v>
      </c>
      <c r="U23" s="56">
        <v>595520.61235199997</v>
      </c>
      <c r="V23" s="56">
        <v>596090.77225200005</v>
      </c>
      <c r="W23" s="56">
        <v>589921.64213399997</v>
      </c>
      <c r="X23" s="56">
        <v>601313.43693600001</v>
      </c>
      <c r="Y23" s="56">
        <v>591461.07386400003</v>
      </c>
      <c r="Z23" s="44">
        <v>584197.23673799995</v>
      </c>
      <c r="AA23" s="44">
        <v>586591.90831800003</v>
      </c>
      <c r="AB23" s="44">
        <v>583182.35211600002</v>
      </c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</row>
    <row r="24" spans="1:239" s="36" customFormat="1" ht="15" customHeight="1" outlineLevel="2" x14ac:dyDescent="0.25">
      <c r="A24" s="42" t="s">
        <v>44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54" t="s">
        <v>45</v>
      </c>
      <c r="P24" s="44"/>
      <c r="Q24" s="56"/>
      <c r="R24" s="56"/>
      <c r="S24" s="56"/>
      <c r="T24" s="56"/>
      <c r="U24" s="45"/>
      <c r="V24" s="45"/>
      <c r="W24" s="56"/>
      <c r="X24" s="56"/>
      <c r="Y24" s="45"/>
      <c r="Z24" s="44"/>
      <c r="AA24" s="44"/>
      <c r="AB24" s="44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</row>
    <row r="25" spans="1:239" s="36" customFormat="1" ht="15" customHeight="1" outlineLevel="2" x14ac:dyDescent="0.25">
      <c r="A25" s="42" t="s">
        <v>46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54" t="s">
        <v>47</v>
      </c>
      <c r="P25" s="44"/>
      <c r="Q25" s="56"/>
      <c r="R25" s="56"/>
      <c r="S25" s="56"/>
      <c r="T25" s="56"/>
      <c r="U25" s="45"/>
      <c r="V25" s="45"/>
      <c r="W25" s="56"/>
      <c r="X25" s="56"/>
      <c r="Y25" s="45"/>
      <c r="Z25" s="44"/>
      <c r="AA25" s="44"/>
      <c r="AB25" s="44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</row>
    <row r="26" spans="1:239" s="36" customFormat="1" ht="15" customHeight="1" outlineLevel="2" x14ac:dyDescent="0.25">
      <c r="A26" s="42" t="s">
        <v>48</v>
      </c>
      <c r="B26" s="44">
        <v>1675320.4498180002</v>
      </c>
      <c r="C26" s="44">
        <v>2173848.8947780002</v>
      </c>
      <c r="D26" s="44">
        <v>2123428.9435279998</v>
      </c>
      <c r="E26" s="44">
        <v>2151686.1268679998</v>
      </c>
      <c r="F26" s="44">
        <v>2085772.02043</v>
      </c>
      <c r="G26" s="44">
        <v>2038769.788464</v>
      </c>
      <c r="H26" s="44">
        <v>1989991.4477639999</v>
      </c>
      <c r="I26" s="44">
        <v>1963623.0789379999</v>
      </c>
      <c r="J26" s="44">
        <v>1928448.774552</v>
      </c>
      <c r="K26" s="44">
        <v>1874756.7710480001</v>
      </c>
      <c r="L26" s="44">
        <v>1823050.515166</v>
      </c>
      <c r="M26" s="44">
        <v>1795957.7662259999</v>
      </c>
      <c r="N26" s="44">
        <v>1178377.2576599999</v>
      </c>
      <c r="O26" s="54" t="s">
        <v>49</v>
      </c>
      <c r="P26" s="44"/>
      <c r="Q26" s="56"/>
      <c r="R26" s="56"/>
      <c r="S26" s="56"/>
      <c r="T26" s="56"/>
      <c r="U26" s="45"/>
      <c r="V26" s="45"/>
      <c r="W26" s="56"/>
      <c r="X26" s="56"/>
      <c r="Y26" s="45"/>
      <c r="Z26" s="44"/>
      <c r="AA26" s="44"/>
      <c r="AB26" s="44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</row>
    <row r="27" spans="1:239" s="36" customFormat="1" ht="15" customHeight="1" outlineLevel="2" x14ac:dyDescent="0.25">
      <c r="A27" s="42" t="s">
        <v>50</v>
      </c>
      <c r="B27" s="44">
        <v>106441118.36</v>
      </c>
      <c r="C27" s="44">
        <v>106441118.36</v>
      </c>
      <c r="D27" s="44">
        <v>106441118.36</v>
      </c>
      <c r="E27" s="44">
        <v>106441118.36</v>
      </c>
      <c r="F27" s="44">
        <v>106441118.36</v>
      </c>
      <c r="G27" s="44">
        <v>106441118.36</v>
      </c>
      <c r="H27" s="44">
        <v>106441118.36</v>
      </c>
      <c r="I27" s="44">
        <v>106441118.36</v>
      </c>
      <c r="J27" s="44">
        <v>106441118.36</v>
      </c>
      <c r="K27" s="44">
        <v>106441118.36</v>
      </c>
      <c r="L27" s="44">
        <v>106441118.36</v>
      </c>
      <c r="M27" s="44">
        <v>106441118.36</v>
      </c>
      <c r="N27" s="44">
        <v>106441118.36</v>
      </c>
      <c r="O27" s="54" t="s">
        <v>51</v>
      </c>
      <c r="P27" s="44"/>
      <c r="Q27" s="56"/>
      <c r="R27" s="56"/>
      <c r="S27" s="56"/>
      <c r="T27" s="56"/>
      <c r="U27" s="45"/>
      <c r="V27" s="45"/>
      <c r="W27" s="56"/>
      <c r="X27" s="56"/>
      <c r="Y27" s="45"/>
      <c r="Z27" s="44"/>
      <c r="AA27" s="44"/>
      <c r="AB27" s="44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</row>
    <row r="28" spans="1:239" s="36" customFormat="1" ht="15" customHeight="1" outlineLevel="2" x14ac:dyDescent="0.25">
      <c r="A28" s="45" t="s">
        <v>52</v>
      </c>
      <c r="B28" s="44"/>
      <c r="C28" s="44"/>
      <c r="D28" s="44"/>
      <c r="E28" s="44"/>
      <c r="F28" s="44"/>
      <c r="G28" s="44"/>
      <c r="H28" s="44">
        <v>0</v>
      </c>
      <c r="I28" s="44">
        <v>0</v>
      </c>
      <c r="J28" s="44">
        <v>0</v>
      </c>
      <c r="K28" s="44"/>
      <c r="L28" s="44"/>
      <c r="M28" s="44"/>
      <c r="N28" s="44"/>
      <c r="O28" s="54" t="s">
        <v>53</v>
      </c>
      <c r="P28" s="44">
        <v>2337769.96</v>
      </c>
      <c r="Q28" s="56">
        <v>3403561.94</v>
      </c>
      <c r="R28" s="56">
        <v>3482537.6</v>
      </c>
      <c r="S28" s="56">
        <v>3505639.28</v>
      </c>
      <c r="T28" s="56">
        <v>2904506.15</v>
      </c>
      <c r="U28" s="56">
        <v>2925298.94</v>
      </c>
      <c r="V28" s="56">
        <v>2946174.78</v>
      </c>
      <c r="W28" s="56">
        <v>2241663.52</v>
      </c>
      <c r="X28" s="56">
        <v>2260037.79</v>
      </c>
      <c r="Y28" s="56">
        <v>2290430.42</v>
      </c>
      <c r="Z28" s="44">
        <v>2306147.2200000002</v>
      </c>
      <c r="AA28" s="44">
        <v>2321927.35</v>
      </c>
      <c r="AB28" s="44">
        <v>1244784.29</v>
      </c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</row>
    <row r="29" spans="1:239" s="36" customFormat="1" ht="15" customHeight="1" outlineLevel="2" x14ac:dyDescent="0.25">
      <c r="A29" s="42" t="s">
        <v>54</v>
      </c>
      <c r="B29" s="44"/>
      <c r="C29" s="44"/>
      <c r="D29" s="44"/>
      <c r="E29" s="44"/>
      <c r="F29" s="44"/>
      <c r="G29" s="44"/>
      <c r="H29" s="44">
        <v>0</v>
      </c>
      <c r="I29" s="44">
        <v>0</v>
      </c>
      <c r="J29" s="44">
        <v>0</v>
      </c>
      <c r="K29" s="44"/>
      <c r="L29" s="44"/>
      <c r="M29" s="44"/>
      <c r="N29" s="44"/>
      <c r="O29" s="58" t="s">
        <v>55</v>
      </c>
      <c r="P29" s="59">
        <f t="shared" ref="P29:AA29" si="2">SUM(P21:P28)</f>
        <v>2913608.6526039997</v>
      </c>
      <c r="Q29" s="59">
        <f t="shared" si="2"/>
        <v>4009904.187254</v>
      </c>
      <c r="R29" s="59">
        <f t="shared" si="2"/>
        <v>4081752.8485040003</v>
      </c>
      <c r="S29" s="59">
        <f t="shared" si="2"/>
        <v>4107021.136124</v>
      </c>
      <c r="T29" s="59">
        <f t="shared" si="2"/>
        <v>3500380.2614899999</v>
      </c>
      <c r="U29" s="59">
        <f t="shared" si="2"/>
        <v>3520819.552352</v>
      </c>
      <c r="V29" s="59">
        <f t="shared" si="2"/>
        <v>3542265.5522519997</v>
      </c>
      <c r="W29" s="59">
        <f t="shared" si="2"/>
        <v>2831585.1621340001</v>
      </c>
      <c r="X29" s="59">
        <f t="shared" si="2"/>
        <v>2861351.2269359999</v>
      </c>
      <c r="Y29" s="59">
        <f t="shared" si="2"/>
        <v>2881891.4938639998</v>
      </c>
      <c r="Z29" s="59">
        <f t="shared" si="2"/>
        <v>2890344.4567380003</v>
      </c>
      <c r="AA29" s="59">
        <f t="shared" si="2"/>
        <v>2908519.258318</v>
      </c>
      <c r="AB29" s="59">
        <f t="shared" ref="AB29" si="3">SUM(AB21:AB28)</f>
        <v>1827966.6421159999</v>
      </c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</row>
    <row r="30" spans="1:239" s="36" customFormat="1" ht="15" customHeight="1" outlineLevel="2" x14ac:dyDescent="0.25">
      <c r="A30" s="42" t="s">
        <v>56</v>
      </c>
      <c r="B30" s="44"/>
      <c r="C30" s="44"/>
      <c r="D30" s="44"/>
      <c r="E30" s="44"/>
      <c r="F30" s="44"/>
      <c r="G30" s="44"/>
      <c r="H30" s="44">
        <v>0</v>
      </c>
      <c r="I30" s="44">
        <v>0</v>
      </c>
      <c r="J30" s="44">
        <v>0</v>
      </c>
      <c r="K30" s="44"/>
      <c r="L30" s="44"/>
      <c r="M30" s="44"/>
      <c r="N30" s="44"/>
      <c r="O30" s="58" t="s">
        <v>57</v>
      </c>
      <c r="P30" s="59">
        <f t="shared" ref="P30:AA30" si="4">P19+P29</f>
        <v>264359130.33392802</v>
      </c>
      <c r="Q30" s="59">
        <f t="shared" si="4"/>
        <v>225499296.128838</v>
      </c>
      <c r="R30" s="59">
        <f t="shared" si="4"/>
        <v>230660376.03088</v>
      </c>
      <c r="S30" s="59">
        <f t="shared" si="4"/>
        <v>234783607.25630802</v>
      </c>
      <c r="T30" s="59">
        <f t="shared" si="4"/>
        <v>252102524.31891</v>
      </c>
      <c r="U30" s="59">
        <f t="shared" si="4"/>
        <v>244711533.63678402</v>
      </c>
      <c r="V30" s="59">
        <f t="shared" si="4"/>
        <v>246062941.53242797</v>
      </c>
      <c r="W30" s="59">
        <f t="shared" si="4"/>
        <v>248043665.478926</v>
      </c>
      <c r="X30" s="59">
        <f t="shared" si="4"/>
        <v>251012806.67231202</v>
      </c>
      <c r="Y30" s="59">
        <f t="shared" si="4"/>
        <v>254271034.09295198</v>
      </c>
      <c r="Z30" s="59">
        <f t="shared" si="4"/>
        <v>258046858.95783401</v>
      </c>
      <c r="AA30" s="59">
        <f t="shared" si="4"/>
        <v>262054491.78085798</v>
      </c>
      <c r="AB30" s="59">
        <f t="shared" ref="AB30" si="5">AB19+AB29</f>
        <v>292292832.14937001</v>
      </c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</row>
    <row r="31" spans="1:239" s="36" customFormat="1" ht="15" customHeight="1" outlineLevel="2" x14ac:dyDescent="0.25">
      <c r="A31" s="42" t="s">
        <v>58</v>
      </c>
      <c r="B31" s="44">
        <v>10102045.120000001</v>
      </c>
      <c r="C31" s="44">
        <v>10224614.859999999</v>
      </c>
      <c r="D31" s="44">
        <v>10201819.26</v>
      </c>
      <c r="E31" s="44">
        <v>10179023.66</v>
      </c>
      <c r="F31" s="44">
        <v>10293648.24</v>
      </c>
      <c r="G31" s="44">
        <v>10269697.85</v>
      </c>
      <c r="H31" s="44">
        <v>10245747.460000001</v>
      </c>
      <c r="I31" s="44">
        <v>10221797.07</v>
      </c>
      <c r="J31" s="44">
        <v>10197846.68</v>
      </c>
      <c r="K31" s="44">
        <v>10173896.289999999</v>
      </c>
      <c r="L31" s="44">
        <v>10149945.9</v>
      </c>
      <c r="M31" s="44">
        <v>10125995.5</v>
      </c>
      <c r="N31" s="44">
        <v>9814640.5600000005</v>
      </c>
      <c r="O31" s="54" t="s">
        <v>59</v>
      </c>
      <c r="P31" s="55"/>
      <c r="Q31" s="45"/>
      <c r="R31" s="45"/>
      <c r="S31" s="45"/>
      <c r="T31" s="45"/>
      <c r="U31" s="45"/>
      <c r="V31" s="45"/>
      <c r="W31" s="45"/>
      <c r="X31" s="45"/>
      <c r="Y31" s="45"/>
      <c r="Z31" s="44"/>
      <c r="AA31" s="45"/>
      <c r="AB31" s="45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</row>
    <row r="32" spans="1:239" s="36" customFormat="1" ht="15" customHeight="1" outlineLevel="2" x14ac:dyDescent="0.25">
      <c r="A32" s="42" t="s">
        <v>60</v>
      </c>
      <c r="B32" s="44"/>
      <c r="D32" s="44"/>
      <c r="E32" s="44"/>
      <c r="F32" s="44"/>
      <c r="G32" s="44"/>
      <c r="H32" s="44">
        <v>0</v>
      </c>
      <c r="I32" s="44">
        <v>0</v>
      </c>
      <c r="J32" s="44">
        <v>0</v>
      </c>
      <c r="K32" s="44"/>
      <c r="L32" s="44"/>
      <c r="M32" s="44"/>
      <c r="N32" s="44"/>
      <c r="O32" s="54" t="s">
        <v>61</v>
      </c>
      <c r="P32" s="44">
        <v>112879600</v>
      </c>
      <c r="Q32" s="56">
        <v>112879600</v>
      </c>
      <c r="R32" s="56">
        <v>112879600</v>
      </c>
      <c r="S32" s="56">
        <v>112879600</v>
      </c>
      <c r="T32" s="56">
        <v>112879600</v>
      </c>
      <c r="U32" s="56">
        <v>112879600</v>
      </c>
      <c r="V32" s="56">
        <v>112879600</v>
      </c>
      <c r="W32" s="56">
        <v>112879600</v>
      </c>
      <c r="X32" s="56">
        <v>112879600</v>
      </c>
      <c r="Y32" s="56">
        <v>112879600</v>
      </c>
      <c r="Z32" s="44">
        <v>112879600</v>
      </c>
      <c r="AA32" s="44">
        <v>112879600</v>
      </c>
      <c r="AB32" s="44">
        <v>112879600</v>
      </c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</row>
    <row r="33" spans="1:239" s="36" customFormat="1" ht="15" customHeight="1" outlineLevel="2" x14ac:dyDescent="0.25">
      <c r="A33" s="42" t="s">
        <v>62</v>
      </c>
      <c r="B33" s="44"/>
      <c r="C33" s="44"/>
      <c r="D33" s="44"/>
      <c r="E33" s="44"/>
      <c r="F33" s="44"/>
      <c r="G33" s="44"/>
      <c r="H33" s="44">
        <v>0</v>
      </c>
      <c r="I33" s="44">
        <v>0</v>
      </c>
      <c r="J33" s="44">
        <v>0</v>
      </c>
      <c r="K33" s="44"/>
      <c r="L33" s="44"/>
      <c r="M33" s="44"/>
      <c r="N33" s="44"/>
      <c r="O33" s="54" t="s">
        <v>63</v>
      </c>
      <c r="P33" s="44"/>
      <c r="Q33" s="56">
        <v>0</v>
      </c>
      <c r="R33" s="56">
        <v>0</v>
      </c>
      <c r="S33" s="56">
        <v>0</v>
      </c>
      <c r="T33" s="56">
        <v>0</v>
      </c>
      <c r="U33" s="56"/>
      <c r="V33" s="45"/>
      <c r="W33" s="56">
        <v>0</v>
      </c>
      <c r="X33" s="56"/>
      <c r="Y33" s="56"/>
      <c r="Z33" s="44"/>
      <c r="AA33" s="44"/>
      <c r="AB33" s="44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</row>
    <row r="34" spans="1:239" s="36" customFormat="1" ht="15" customHeight="1" outlineLevel="2" x14ac:dyDescent="0.25">
      <c r="A34" s="42" t="s">
        <v>64</v>
      </c>
      <c r="B34" s="44">
        <v>1634288.73</v>
      </c>
      <c r="C34" s="44">
        <v>2968887.48</v>
      </c>
      <c r="D34" s="44">
        <v>2817153.28</v>
      </c>
      <c r="E34" s="44">
        <v>2754073.44</v>
      </c>
      <c r="F34" s="44">
        <v>2600783.9</v>
      </c>
      <c r="G34" s="44">
        <v>2447494.36</v>
      </c>
      <c r="H34" s="44">
        <v>2294204.8199999998</v>
      </c>
      <c r="I34" s="44">
        <v>2140915.2799999998</v>
      </c>
      <c r="J34" s="44">
        <v>1987625.68</v>
      </c>
      <c r="K34" s="44">
        <v>1838658.22</v>
      </c>
      <c r="L34" s="44">
        <v>1707647.56</v>
      </c>
      <c r="M34" s="44">
        <v>1576636.83</v>
      </c>
      <c r="N34" s="44">
        <v>630593.49</v>
      </c>
      <c r="O34" s="54" t="s">
        <v>65</v>
      </c>
      <c r="P34" s="44">
        <v>230813700.000772</v>
      </c>
      <c r="Q34" s="56">
        <v>230813700</v>
      </c>
      <c r="R34" s="56">
        <v>230813700</v>
      </c>
      <c r="S34" s="56">
        <v>230813700</v>
      </c>
      <c r="T34" s="56">
        <v>230813699.99829999</v>
      </c>
      <c r="U34" s="56">
        <v>230813700</v>
      </c>
      <c r="V34" s="56">
        <v>230813700</v>
      </c>
      <c r="W34" s="56">
        <v>230813700</v>
      </c>
      <c r="X34" s="56">
        <v>230813699.99796799</v>
      </c>
      <c r="Y34" s="56">
        <v>230813699.99796799</v>
      </c>
      <c r="Z34" s="44">
        <v>230813699.99796799</v>
      </c>
      <c r="AA34" s="44">
        <v>230813700</v>
      </c>
      <c r="AB34" s="44">
        <v>230813699.998321</v>
      </c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</row>
    <row r="35" spans="1:239" s="36" customFormat="1" ht="15" customHeight="1" outlineLevel="2" x14ac:dyDescent="0.25">
      <c r="A35" s="42" t="s">
        <v>66</v>
      </c>
      <c r="B35" s="44"/>
      <c r="C35" s="44"/>
      <c r="D35" s="44"/>
      <c r="E35" s="44"/>
      <c r="F35" s="44"/>
      <c r="G35" s="44"/>
      <c r="H35" s="44">
        <v>0</v>
      </c>
      <c r="I35" s="44">
        <v>0</v>
      </c>
      <c r="J35" s="44">
        <v>0</v>
      </c>
      <c r="K35" s="44"/>
      <c r="L35" s="44"/>
      <c r="M35" s="44"/>
      <c r="N35" s="44"/>
      <c r="O35" s="54" t="s">
        <v>67</v>
      </c>
      <c r="P35" s="44"/>
      <c r="Q35" s="56">
        <v>0</v>
      </c>
      <c r="R35" s="56">
        <v>0</v>
      </c>
      <c r="S35" s="56">
        <v>0</v>
      </c>
      <c r="T35" s="56">
        <v>0</v>
      </c>
      <c r="U35" s="56"/>
      <c r="V35" s="45"/>
      <c r="W35" s="56">
        <v>0</v>
      </c>
      <c r="X35" s="56"/>
      <c r="Y35" s="56"/>
      <c r="Z35" s="44"/>
      <c r="AA35" s="44"/>
      <c r="AB35" s="44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</row>
    <row r="36" spans="1:239" s="36" customFormat="1" ht="15" customHeight="1" outlineLevel="2" x14ac:dyDescent="0.25">
      <c r="A36" s="42" t="s">
        <v>68</v>
      </c>
      <c r="B36" s="44"/>
      <c r="C36" s="44"/>
      <c r="D36" s="44"/>
      <c r="E36" s="44"/>
      <c r="F36" s="44"/>
      <c r="G36" s="44"/>
      <c r="H36" s="44">
        <v>0</v>
      </c>
      <c r="I36" s="44">
        <v>0</v>
      </c>
      <c r="J36" s="44">
        <v>0</v>
      </c>
      <c r="K36" s="44"/>
      <c r="L36" s="44"/>
      <c r="M36" s="44"/>
      <c r="N36" s="44"/>
      <c r="O36" s="54" t="s">
        <v>69</v>
      </c>
      <c r="P36" s="44">
        <v>-1077356.5411039991</v>
      </c>
      <c r="Q36" s="56">
        <v>-1030904.930703</v>
      </c>
      <c r="R36" s="56">
        <v>-1083528.6788280001</v>
      </c>
      <c r="S36" s="56">
        <v>-1067742.6649180001</v>
      </c>
      <c r="T36" s="56">
        <v>-1048625.237805</v>
      </c>
      <c r="U36" s="56">
        <v>-992396.03732400003</v>
      </c>
      <c r="V36" s="56">
        <v>-987702.82087399997</v>
      </c>
      <c r="W36" s="56">
        <v>-1038065.368863</v>
      </c>
      <c r="X36" s="56">
        <v>-878138.930192</v>
      </c>
      <c r="Y36" s="56">
        <v>-963513.82294400001</v>
      </c>
      <c r="Z36" s="44">
        <v>-1025604.36076</v>
      </c>
      <c r="AA36" s="44">
        <v>-1005144.543512</v>
      </c>
      <c r="AB36" s="44">
        <v>-799622.72539099865</v>
      </c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</row>
    <row r="37" spans="1:239" s="36" customFormat="1" ht="15" customHeight="1" outlineLevel="2" x14ac:dyDescent="0.25">
      <c r="A37" s="45" t="s">
        <v>70</v>
      </c>
      <c r="B37" s="44">
        <v>3694337.98</v>
      </c>
      <c r="C37" s="44">
        <v>5614218.7199999997</v>
      </c>
      <c r="D37" s="44">
        <v>5440511.8700000001</v>
      </c>
      <c r="E37" s="44">
        <v>5266805.0199999996</v>
      </c>
      <c r="F37" s="44">
        <v>5093098.17</v>
      </c>
      <c r="G37" s="44">
        <v>4919391.32</v>
      </c>
      <c r="H37" s="44">
        <v>4745684.47</v>
      </c>
      <c r="I37" s="44">
        <v>4571977.62</v>
      </c>
      <c r="J37" s="44">
        <v>4398270.7699999996</v>
      </c>
      <c r="K37" s="44">
        <v>4215493.9800000004</v>
      </c>
      <c r="L37" s="44">
        <v>4041751.13</v>
      </c>
      <c r="M37" s="44">
        <v>3868044.83</v>
      </c>
      <c r="N37" s="44">
        <v>1609855.78</v>
      </c>
      <c r="O37" s="54" t="s">
        <v>71</v>
      </c>
      <c r="P37" s="44"/>
      <c r="Q37" s="56">
        <v>0</v>
      </c>
      <c r="R37" s="56">
        <v>0</v>
      </c>
      <c r="S37" s="56">
        <v>0</v>
      </c>
      <c r="T37" s="56">
        <v>0</v>
      </c>
      <c r="U37" s="56"/>
      <c r="V37" s="45"/>
      <c r="W37" s="56">
        <v>0</v>
      </c>
      <c r="X37" s="56"/>
      <c r="Y37" s="56"/>
      <c r="Z37" s="44"/>
      <c r="AA37" s="44"/>
      <c r="AB37" s="44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</row>
    <row r="38" spans="1:239" s="36" customFormat="1" ht="15" customHeight="1" outlineLevel="2" x14ac:dyDescent="0.25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4"/>
      <c r="M38" s="44"/>
      <c r="N38" s="44"/>
      <c r="O38" s="54" t="s">
        <v>72</v>
      </c>
      <c r="P38" s="44">
        <f>-453998913.580328+1720</f>
        <v>-453997193.58032799</v>
      </c>
      <c r="Q38" s="55">
        <v>-412676129.587506</v>
      </c>
      <c r="R38" s="55">
        <v>-416244290.34766001</v>
      </c>
      <c r="S38" s="55">
        <v>-419889604.10245198</v>
      </c>
      <c r="T38" s="55">
        <v>-424693576.50648999</v>
      </c>
      <c r="U38" s="56">
        <v>-428954400.01030397</v>
      </c>
      <c r="V38" s="56">
        <v>-433224818.97441798</v>
      </c>
      <c r="W38" s="56">
        <v>-436545345.96718597</v>
      </c>
      <c r="X38" s="56">
        <v>-438414151.66113198</v>
      </c>
      <c r="Y38" s="56">
        <v>-442697196.05591202</v>
      </c>
      <c r="Z38" s="44">
        <v>-446776725.73871797</v>
      </c>
      <c r="AA38" s="44">
        <v>-450986498.90196699</v>
      </c>
      <c r="AB38" s="44">
        <v>-482281713.42356211</v>
      </c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</row>
    <row r="39" spans="1:239" s="36" customFormat="1" ht="15" customHeight="1" outlineLevel="2" x14ac:dyDescent="0.25">
      <c r="A39" s="45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54" t="s">
        <v>73</v>
      </c>
      <c r="P39" s="44">
        <v>-111381250.12</v>
      </c>
      <c r="Q39" s="56">
        <v>-70013734.518208995</v>
      </c>
      <c r="R39" s="56">
        <v>-73634519.030000001</v>
      </c>
      <c r="S39" s="56">
        <v>-77264046.769999996</v>
      </c>
      <c r="T39" s="56">
        <v>-82048901.75</v>
      </c>
      <c r="U39" s="56">
        <v>-86253496.047628</v>
      </c>
      <c r="V39" s="56">
        <v>-90519221.795292005</v>
      </c>
      <c r="W39" s="56">
        <v>-93890111.336049005</v>
      </c>
      <c r="X39" s="56">
        <v>-95598990.593355998</v>
      </c>
      <c r="Y39" s="56">
        <v>-99967409.880888</v>
      </c>
      <c r="Z39" s="44">
        <v>-104109030.10151</v>
      </c>
      <c r="AA39" s="44">
        <v>-108298343.44547901</v>
      </c>
      <c r="AB39" s="44">
        <v>-139388036.15063208</v>
      </c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</row>
    <row r="40" spans="1:239" s="36" customFormat="1" ht="15" customHeight="1" outlineLevel="2" x14ac:dyDescent="0.25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4"/>
      <c r="M40" s="44"/>
      <c r="N40" s="44"/>
      <c r="O40" s="54" t="s">
        <v>74</v>
      </c>
      <c r="P40" s="44">
        <v>-488923.83</v>
      </c>
      <c r="Q40" s="56">
        <v>-37934.019999999997</v>
      </c>
      <c r="R40" s="56">
        <v>-96457.69</v>
      </c>
      <c r="S40" s="56">
        <v>-116919.49</v>
      </c>
      <c r="T40" s="56">
        <v>-155097.57</v>
      </c>
      <c r="U40" s="56">
        <v>-203800.99</v>
      </c>
      <c r="V40" s="56">
        <v>-244191.95</v>
      </c>
      <c r="W40" s="56">
        <v>-246540.44</v>
      </c>
      <c r="X40" s="56">
        <v>-283081.86</v>
      </c>
      <c r="Y40" s="56">
        <v>-352593.19</v>
      </c>
      <c r="Z40" s="44">
        <v>-354929.89</v>
      </c>
      <c r="AA40" s="44">
        <v>-390564.47</v>
      </c>
      <c r="AB40" s="44">
        <v>-856820.3201580001</v>
      </c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</row>
    <row r="41" spans="1:239" s="36" customFormat="1" ht="15" customHeight="1" outlineLevel="2" x14ac:dyDescent="0.25">
      <c r="A41" s="46" t="s">
        <v>75</v>
      </c>
      <c r="B41" s="47">
        <f t="shared" ref="B41:M41" si="6">SUM(B19:B37)</f>
        <v>123547110.63981801</v>
      </c>
      <c r="C41" s="47">
        <f t="shared" si="6"/>
        <v>127422688.314778</v>
      </c>
      <c r="D41" s="47">
        <f t="shared" si="6"/>
        <v>127024031.71352801</v>
      </c>
      <c r="E41" s="47">
        <f t="shared" si="6"/>
        <v>126792706.60686798</v>
      </c>
      <c r="F41" s="47">
        <f t="shared" si="6"/>
        <v>126514420.69043</v>
      </c>
      <c r="G41" s="47">
        <f t="shared" si="6"/>
        <v>126116471.678464</v>
      </c>
      <c r="H41" s="47">
        <f t="shared" si="6"/>
        <v>125716746.55776399</v>
      </c>
      <c r="I41" s="47">
        <f t="shared" si="6"/>
        <v>125339431.40893799</v>
      </c>
      <c r="J41" s="47">
        <f t="shared" si="6"/>
        <v>124953310.26455201</v>
      </c>
      <c r="K41" s="47">
        <f t="shared" si="6"/>
        <v>124543923.62104799</v>
      </c>
      <c r="L41" s="47">
        <f t="shared" si="6"/>
        <v>124163513.465166</v>
      </c>
      <c r="M41" s="47">
        <f t="shared" si="6"/>
        <v>123807753.28622599</v>
      </c>
      <c r="N41" s="47">
        <f t="shared" ref="N41" si="7">SUM(N19:N37)</f>
        <v>119674585.44766</v>
      </c>
      <c r="O41" s="58" t="s">
        <v>76</v>
      </c>
      <c r="P41" s="59">
        <f t="shared" ref="P41:AA41" si="8">P39+P40</f>
        <v>-111870173.95</v>
      </c>
      <c r="Q41" s="59">
        <f t="shared" si="8"/>
        <v>-70051668.538208991</v>
      </c>
      <c r="R41" s="59">
        <f t="shared" si="8"/>
        <v>-73730976.719999999</v>
      </c>
      <c r="S41" s="59">
        <f t="shared" si="8"/>
        <v>-77380966.25999999</v>
      </c>
      <c r="T41" s="59">
        <f t="shared" si="8"/>
        <v>-82203999.319999993</v>
      </c>
      <c r="U41" s="59">
        <f t="shared" si="8"/>
        <v>-86457297.037627995</v>
      </c>
      <c r="V41" s="59">
        <f t="shared" si="8"/>
        <v>-90763413.745292008</v>
      </c>
      <c r="W41" s="59">
        <f t="shared" si="8"/>
        <v>-94136651.776049003</v>
      </c>
      <c r="X41" s="59">
        <f t="shared" si="8"/>
        <v>-95882072.453355998</v>
      </c>
      <c r="Y41" s="59">
        <f t="shared" si="8"/>
        <v>-100320003.070888</v>
      </c>
      <c r="Z41" s="59">
        <f t="shared" si="8"/>
        <v>-104463959.99151</v>
      </c>
      <c r="AA41" s="59">
        <f t="shared" si="8"/>
        <v>-108688907.915479</v>
      </c>
      <c r="AB41" s="59">
        <f t="shared" ref="AB41" si="9">AB39+AB40</f>
        <v>-140244856.47079009</v>
      </c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</row>
    <row r="42" spans="1:239" s="36" customFormat="1" ht="15" customHeight="1" outlineLevel="2" x14ac:dyDescent="0.25">
      <c r="A42" s="46" t="s">
        <v>77</v>
      </c>
      <c r="B42" s="47">
        <f t="shared" ref="B42:M42" si="10">B17+B41</f>
        <v>152488956.383268</v>
      </c>
      <c r="C42" s="47">
        <f t="shared" si="10"/>
        <v>155447627.59062901</v>
      </c>
      <c r="D42" s="47">
        <f t="shared" si="10"/>
        <v>156929399.314392</v>
      </c>
      <c r="E42" s="47">
        <f t="shared" si="10"/>
        <v>157402640.99893799</v>
      </c>
      <c r="F42" s="47">
        <f t="shared" si="10"/>
        <v>169898525.00291499</v>
      </c>
      <c r="G42" s="47">
        <f t="shared" si="10"/>
        <v>158254236.598176</v>
      </c>
      <c r="H42" s="47">
        <f t="shared" si="10"/>
        <v>155299527.786156</v>
      </c>
      <c r="I42" s="47">
        <f t="shared" si="10"/>
        <v>153907013.701897</v>
      </c>
      <c r="J42" s="47">
        <f t="shared" si="10"/>
        <v>155130734.21895602</v>
      </c>
      <c r="K42" s="47">
        <f t="shared" si="10"/>
        <v>153951031.022064</v>
      </c>
      <c r="L42" s="47">
        <f t="shared" si="10"/>
        <v>153582898.966324</v>
      </c>
      <c r="M42" s="47">
        <f t="shared" si="10"/>
        <v>153365583.86537898</v>
      </c>
      <c r="N42" s="47">
        <f t="shared" ref="N42" si="11">N17+N41</f>
        <v>152047975.678738</v>
      </c>
      <c r="O42" s="58" t="s">
        <v>78</v>
      </c>
      <c r="P42" s="59">
        <f t="shared" ref="P42:AA42" si="12">P30+P41</f>
        <v>152488956.383928</v>
      </c>
      <c r="Q42" s="59">
        <f t="shared" si="12"/>
        <v>155447627.59062901</v>
      </c>
      <c r="R42" s="59">
        <f t="shared" si="12"/>
        <v>156929399.31088001</v>
      </c>
      <c r="S42" s="59">
        <f t="shared" si="12"/>
        <v>157402640.99630803</v>
      </c>
      <c r="T42" s="59">
        <f t="shared" si="12"/>
        <v>169898524.99891001</v>
      </c>
      <c r="U42" s="59">
        <f t="shared" si="12"/>
        <v>158254236.59915602</v>
      </c>
      <c r="V42" s="59">
        <f t="shared" si="12"/>
        <v>155299527.78713596</v>
      </c>
      <c r="W42" s="59">
        <f t="shared" si="12"/>
        <v>153907013.70287699</v>
      </c>
      <c r="X42" s="59">
        <f t="shared" si="12"/>
        <v>155130734.21895602</v>
      </c>
      <c r="Y42" s="59">
        <f t="shared" si="12"/>
        <v>153951031.02206397</v>
      </c>
      <c r="Z42" s="59">
        <f t="shared" si="12"/>
        <v>153582898.966324</v>
      </c>
      <c r="AA42" s="59">
        <f t="shared" si="12"/>
        <v>153365583.86537898</v>
      </c>
      <c r="AB42" s="59">
        <f t="shared" ref="AB42" si="13">AB30+AB41</f>
        <v>152047975.67857993</v>
      </c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</row>
    <row r="43" spans="1:239" ht="15" customHeight="1" outlineLevel="2" x14ac:dyDescent="0.25">
      <c r="A43" s="48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60"/>
      <c r="P43" s="61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</row>
    <row r="44" spans="1:239" s="37" customFormat="1" ht="15" customHeight="1" outlineLevel="2" x14ac:dyDescent="0.25"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spans="1:239" s="37" customFormat="1" ht="15" customHeight="1" x14ac:dyDescent="0.25"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U45" s="36"/>
    </row>
    <row r="46" spans="1:239" s="37" customFormat="1" ht="15" customHeight="1" x14ac:dyDescent="0.25"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</row>
    <row r="47" spans="1:239" s="37" customFormat="1" ht="15" customHeight="1" x14ac:dyDescent="0.25"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</row>
    <row r="48" spans="1:239" s="37" customFormat="1" ht="15" customHeight="1" x14ac:dyDescent="0.25"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</row>
    <row r="49" spans="2:15" s="37" customFormat="1" ht="15" customHeight="1" x14ac:dyDescent="0.25"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</row>
    <row r="50" spans="2:15" s="37" customFormat="1" ht="15" customHeight="1" x14ac:dyDescent="0.25"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</row>
    <row r="51" spans="2:15" s="37" customFormat="1" ht="15" customHeight="1" x14ac:dyDescent="0.25"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</row>
    <row r="52" spans="2:15" s="37" customFormat="1" ht="15" customHeight="1" x14ac:dyDescent="0.25"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</row>
    <row r="53" spans="2:15" s="37" customFormat="1" ht="15" customHeight="1" x14ac:dyDescent="0.25"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</row>
    <row r="54" spans="2:15" s="37" customFormat="1" ht="15" customHeight="1" x14ac:dyDescent="0.25"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</row>
    <row r="55" spans="2:15" s="37" customFormat="1" ht="15" customHeight="1" x14ac:dyDescent="0.25"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</row>
    <row r="56" spans="2:15" s="37" customFormat="1" ht="15" customHeight="1" x14ac:dyDescent="0.25"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</row>
    <row r="57" spans="2:15" s="37" customFormat="1" ht="15" customHeight="1" x14ac:dyDescent="0.25"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</row>
    <row r="58" spans="2:15" s="37" customFormat="1" ht="15" customHeight="1" x14ac:dyDescent="0.25"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</row>
    <row r="59" spans="2:15" s="37" customFormat="1" ht="15" customHeight="1" x14ac:dyDescent="0.25"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</row>
    <row r="60" spans="2:15" s="37" customFormat="1" ht="15" customHeight="1" x14ac:dyDescent="0.25"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</row>
    <row r="61" spans="2:15" s="37" customFormat="1" ht="15" customHeight="1" x14ac:dyDescent="0.25"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</row>
    <row r="62" spans="2:15" s="37" customFormat="1" ht="15" customHeight="1" x14ac:dyDescent="0.25"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</row>
    <row r="63" spans="2:15" s="37" customFormat="1" ht="15" customHeight="1" x14ac:dyDescent="0.25"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</row>
    <row r="64" spans="2:15" s="37" customFormat="1" ht="15" customHeight="1" x14ac:dyDescent="0.25"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</row>
    <row r="65" spans="2:15" s="37" customFormat="1" ht="15" customHeight="1" x14ac:dyDescent="0.25"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</row>
    <row r="66" spans="2:15" s="37" customFormat="1" ht="15" customHeight="1" x14ac:dyDescent="0.25"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</row>
    <row r="67" spans="2:15" s="37" customFormat="1" ht="15" customHeight="1" x14ac:dyDescent="0.25"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</row>
    <row r="68" spans="2:15" s="37" customFormat="1" ht="15" customHeight="1" x14ac:dyDescent="0.25"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</row>
    <row r="69" spans="2:15" s="37" customFormat="1" ht="15" customHeight="1" x14ac:dyDescent="0.25"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</row>
    <row r="70" spans="2:15" s="37" customFormat="1" ht="15" customHeight="1" x14ac:dyDescent="0.25"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</row>
    <row r="71" spans="2:15" s="37" customFormat="1" ht="15" customHeight="1" x14ac:dyDescent="0.25"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</row>
    <row r="72" spans="2:15" s="37" customFormat="1" ht="15" customHeight="1" x14ac:dyDescent="0.25"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</row>
    <row r="73" spans="2:15" s="37" customFormat="1" ht="15" customHeight="1" x14ac:dyDescent="0.25"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</row>
    <row r="74" spans="2:15" s="36" customFormat="1" ht="15" customHeight="1" x14ac:dyDescent="0.25"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50"/>
    </row>
  </sheetData>
  <mergeCells count="1">
    <mergeCell ref="A1:T1"/>
  </mergeCells>
  <phoneticPr fontId="19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topLeftCell="A16" workbookViewId="0">
      <selection activeCell="I17" sqref="I17"/>
    </sheetView>
  </sheetViews>
  <sheetFormatPr defaultColWidth="10" defaultRowHeight="15.6" x14ac:dyDescent="0.25"/>
  <cols>
    <col min="1" max="1" width="48.88671875" style="22" customWidth="1"/>
    <col min="2" max="2" width="22" style="22" hidden="1" customWidth="1"/>
    <col min="3" max="3" width="22" style="22" customWidth="1"/>
    <col min="4" max="4" width="21" style="22" customWidth="1"/>
    <col min="5" max="5" width="10" style="22"/>
    <col min="6" max="6" width="18.33203125" style="22" bestFit="1" customWidth="1"/>
    <col min="7" max="16384" width="10" style="22"/>
  </cols>
  <sheetData>
    <row r="1" spans="1:4" s="21" customFormat="1" ht="48.9" customHeight="1" x14ac:dyDescent="0.25">
      <c r="A1" s="73" t="s">
        <v>79</v>
      </c>
      <c r="B1" s="73"/>
      <c r="C1" s="73"/>
      <c r="D1" s="73"/>
    </row>
    <row r="2" spans="1:4" ht="15" customHeight="1" x14ac:dyDescent="0.25">
      <c r="A2" s="24" t="s">
        <v>1</v>
      </c>
      <c r="B2" s="24"/>
      <c r="C2" s="22" t="s">
        <v>145</v>
      </c>
      <c r="D2" s="66" t="s">
        <v>144</v>
      </c>
    </row>
    <row r="3" spans="1:4" ht="23.1" customHeight="1" x14ac:dyDescent="0.25">
      <c r="A3" s="25" t="s">
        <v>80</v>
      </c>
      <c r="B3" s="25" t="s">
        <v>81</v>
      </c>
      <c r="C3" s="69" t="s">
        <v>143</v>
      </c>
      <c r="D3" s="69" t="s">
        <v>146</v>
      </c>
    </row>
    <row r="4" spans="1:4" s="23" customFormat="1" ht="23.1" customHeight="1" x14ac:dyDescent="0.25">
      <c r="A4" s="26" t="s">
        <v>82</v>
      </c>
      <c r="B4" s="27">
        <v>1996057.17</v>
      </c>
      <c r="C4" s="29">
        <v>772075.43</v>
      </c>
      <c r="D4" s="29">
        <v>12070.81</v>
      </c>
    </row>
    <row r="5" spans="1:4" s="23" customFormat="1" ht="23.1" customHeight="1" x14ac:dyDescent="0.25">
      <c r="A5" s="26" t="s">
        <v>83</v>
      </c>
      <c r="B5" s="29"/>
      <c r="C5" s="29">
        <v>187221.92</v>
      </c>
      <c r="D5" s="29">
        <v>13097.33</v>
      </c>
    </row>
    <row r="6" spans="1:4" s="23" customFormat="1" ht="23.1" customHeight="1" x14ac:dyDescent="0.25">
      <c r="A6" s="26" t="s">
        <v>84</v>
      </c>
      <c r="B6" s="29">
        <v>66418.149999999994</v>
      </c>
      <c r="C6" s="29">
        <v>128437.99</v>
      </c>
      <c r="D6" s="29">
        <v>129570.22</v>
      </c>
    </row>
    <row r="7" spans="1:4" s="23" customFormat="1" ht="23.1" customHeight="1" x14ac:dyDescent="0.25">
      <c r="A7" s="26" t="s">
        <v>85</v>
      </c>
      <c r="B7" s="29">
        <v>0</v>
      </c>
      <c r="C7" s="29">
        <v>704141.4600000002</v>
      </c>
      <c r="D7" s="29">
        <v>3161363.38</v>
      </c>
    </row>
    <row r="8" spans="1:4" s="23" customFormat="1" ht="23.1" customHeight="1" x14ac:dyDescent="0.25">
      <c r="A8" s="26" t="s">
        <v>86</v>
      </c>
      <c r="B8" s="29">
        <v>3778819.04</v>
      </c>
      <c r="C8" s="29">
        <f>28252105.910109-1720</f>
        <v>28250385.910108998</v>
      </c>
      <c r="D8" s="29">
        <v>18538774.119194001</v>
      </c>
    </row>
    <row r="9" spans="1:4" s="23" customFormat="1" ht="23.1" customHeight="1" x14ac:dyDescent="0.25">
      <c r="A9" s="26" t="s">
        <v>87</v>
      </c>
      <c r="B9" s="29">
        <v>5876390.9699999997</v>
      </c>
      <c r="C9" s="29">
        <v>17196021.211760998</v>
      </c>
      <c r="D9" s="29">
        <v>9165500.6501180008</v>
      </c>
    </row>
    <row r="10" spans="1:4" s="23" customFormat="1" ht="23.1" customHeight="1" x14ac:dyDescent="0.25">
      <c r="A10" s="26" t="s">
        <v>88</v>
      </c>
      <c r="B10" s="29">
        <v>461050.38</v>
      </c>
      <c r="C10" s="29">
        <v>2011496.9509039999</v>
      </c>
      <c r="D10" s="29">
        <v>1492279.2319789999</v>
      </c>
    </row>
    <row r="11" spans="1:4" s="23" customFormat="1" ht="23.1" customHeight="1" x14ac:dyDescent="0.25">
      <c r="A11" s="26" t="s">
        <v>89</v>
      </c>
      <c r="B11" s="29">
        <v>-82227.09</v>
      </c>
      <c r="C11" s="29">
        <v>46014.48</v>
      </c>
      <c r="D11" s="29">
        <v>144066.71</v>
      </c>
    </row>
    <row r="12" spans="1:4" s="23" customFormat="1" ht="23.1" customHeight="1" x14ac:dyDescent="0.25">
      <c r="A12" s="26" t="s">
        <v>90</v>
      </c>
      <c r="B12" s="29"/>
      <c r="C12" s="30"/>
      <c r="D12" s="29">
        <v>0</v>
      </c>
    </row>
    <row r="13" spans="1:4" s="23" customFormat="1" ht="23.1" customHeight="1" x14ac:dyDescent="0.25">
      <c r="A13" s="26" t="s">
        <v>91</v>
      </c>
      <c r="B13" s="29"/>
      <c r="C13" s="30"/>
      <c r="D13" s="29">
        <v>0</v>
      </c>
    </row>
    <row r="14" spans="1:4" s="23" customFormat="1" ht="23.1" customHeight="1" x14ac:dyDescent="0.25">
      <c r="A14" s="26" t="s">
        <v>92</v>
      </c>
      <c r="B14" s="29"/>
      <c r="C14" s="30"/>
      <c r="D14" s="29">
        <v>0</v>
      </c>
    </row>
    <row r="15" spans="1:4" s="23" customFormat="1" ht="23.1" customHeight="1" x14ac:dyDescent="0.25">
      <c r="A15" s="26" t="s">
        <v>93</v>
      </c>
      <c r="B15" s="29"/>
      <c r="C15" s="29">
        <v>58776.71</v>
      </c>
      <c r="D15" s="29">
        <v>38973.58</v>
      </c>
    </row>
    <row r="16" spans="1:4" s="23" customFormat="1" ht="23.1" customHeight="1" x14ac:dyDescent="0.25">
      <c r="A16" s="26" t="s">
        <v>94</v>
      </c>
      <c r="B16" s="29"/>
      <c r="C16" s="30"/>
      <c r="D16" s="29">
        <v>0</v>
      </c>
    </row>
    <row r="17" spans="1:6" s="23" customFormat="1" ht="23.1" customHeight="1" x14ac:dyDescent="0.25">
      <c r="A17" s="26" t="s">
        <v>95</v>
      </c>
      <c r="B17" s="31">
        <f t="shared" ref="B17" si="0">B4-B5-B6-B7-B8-B9-B10-B11+B12+B13+B15+B16</f>
        <v>-8104394.2800000003</v>
      </c>
      <c r="C17" s="35">
        <f>C4-C5-C6-C7-C8-C9-C10-C11+C12+C13+C15+C16</f>
        <v>-47692867.782773986</v>
      </c>
      <c r="D17" s="35">
        <f>D4-D5-D6-D7-D8-D9-D10-D11+D12+D13+D15+D16</f>
        <v>-32593607.251291007</v>
      </c>
    </row>
    <row r="18" spans="1:6" s="23" customFormat="1" ht="23.1" customHeight="1" x14ac:dyDescent="0.25">
      <c r="A18" s="26" t="s">
        <v>96</v>
      </c>
      <c r="B18" s="29">
        <v>152500</v>
      </c>
      <c r="C18" s="29">
        <v>394891.45</v>
      </c>
      <c r="D18" s="29">
        <v>232800</v>
      </c>
    </row>
    <row r="19" spans="1:6" s="23" customFormat="1" ht="23.1" customHeight="1" x14ac:dyDescent="0.25">
      <c r="A19" s="26" t="s">
        <v>97</v>
      </c>
      <c r="B19" s="29">
        <v>15000</v>
      </c>
      <c r="C19" s="29">
        <v>60000</v>
      </c>
      <c r="D19" s="29">
        <v>150215.96</v>
      </c>
    </row>
    <row r="20" spans="1:6" s="23" customFormat="1" ht="23.1" customHeight="1" x14ac:dyDescent="0.25">
      <c r="A20" s="26" t="s">
        <v>98</v>
      </c>
      <c r="B20" s="29"/>
      <c r="C20" s="30"/>
      <c r="D20" s="29">
        <v>0</v>
      </c>
    </row>
    <row r="21" spans="1:6" s="23" customFormat="1" ht="23.1" customHeight="1" x14ac:dyDescent="0.25">
      <c r="A21" s="26" t="s">
        <v>99</v>
      </c>
      <c r="B21" s="31">
        <f t="shared" ref="B21" si="1">B17+B18-B19</f>
        <v>-7966894.2800000003</v>
      </c>
      <c r="C21" s="31">
        <f>C17+C18-C19</f>
        <v>-47357976.332773983</v>
      </c>
      <c r="D21" s="31">
        <f>D17+D18-D19</f>
        <v>-32511023.211291008</v>
      </c>
    </row>
    <row r="22" spans="1:6" s="23" customFormat="1" ht="23.1" customHeight="1" x14ac:dyDescent="0.25">
      <c r="A22" s="26" t="s">
        <v>100</v>
      </c>
      <c r="B22" s="29"/>
      <c r="C22" s="30"/>
      <c r="D22" s="29">
        <v>0</v>
      </c>
    </row>
    <row r="23" spans="1:6" s="23" customFormat="1" ht="23.1" customHeight="1" x14ac:dyDescent="0.25">
      <c r="A23" s="26" t="s">
        <v>101</v>
      </c>
      <c r="B23" s="31">
        <f t="shared" ref="B23" si="2">B21-B22</f>
        <v>-7966894.2800000003</v>
      </c>
      <c r="C23" s="31">
        <f>C21-C22</f>
        <v>-47357976.332773983</v>
      </c>
      <c r="D23" s="31">
        <f>D21-D22</f>
        <v>-32511023.211291008</v>
      </c>
      <c r="F23" s="65"/>
    </row>
    <row r="24" spans="1:6" s="23" customFormat="1" ht="23.1" customHeight="1" x14ac:dyDescent="0.25">
      <c r="A24" s="26" t="s">
        <v>102</v>
      </c>
      <c r="B24" s="29">
        <v>308323.73</v>
      </c>
      <c r="C24" s="29">
        <v>-454537.65</v>
      </c>
      <c r="D24" s="29">
        <v>-367896.485315</v>
      </c>
    </row>
    <row r="25" spans="1:6" s="23" customFormat="1" ht="23.1" customHeight="1" x14ac:dyDescent="0.25">
      <c r="A25" s="26" t="s">
        <v>103</v>
      </c>
      <c r="B25" s="29">
        <v>-8275218.0099999998</v>
      </c>
      <c r="C25" s="29">
        <f>C23-C24</f>
        <v>-46903438.682773985</v>
      </c>
      <c r="D25" s="29">
        <v>-32143126.725976001</v>
      </c>
    </row>
    <row r="26" spans="1:6" s="23" customFormat="1" ht="23.1" customHeight="1" x14ac:dyDescent="0.25">
      <c r="A26" s="26" t="s">
        <v>104</v>
      </c>
      <c r="B26" s="26"/>
      <c r="C26" s="28"/>
      <c r="D26" s="28"/>
    </row>
    <row r="27" spans="1:6" s="23" customFormat="1" ht="23.1" customHeight="1" x14ac:dyDescent="0.25">
      <c r="A27" s="26" t="s">
        <v>105</v>
      </c>
      <c r="B27" s="26"/>
      <c r="C27" s="28"/>
      <c r="D27" s="28"/>
    </row>
    <row r="28" spans="1:6" s="23" customFormat="1" ht="23.1" customHeight="1" x14ac:dyDescent="0.25">
      <c r="A28" s="26" t="s">
        <v>106</v>
      </c>
      <c r="B28" s="27"/>
      <c r="C28" s="28"/>
      <c r="D28" s="28"/>
    </row>
    <row r="29" spans="1:6" s="23" customFormat="1" ht="16.05" customHeight="1" x14ac:dyDescent="0.25">
      <c r="A29" s="32"/>
      <c r="B29" s="32"/>
    </row>
    <row r="30" spans="1:6" ht="15" customHeight="1" x14ac:dyDescent="0.25">
      <c r="A30" s="33"/>
      <c r="B30" s="33"/>
    </row>
    <row r="31" spans="1:6" ht="15" customHeight="1" x14ac:dyDescent="0.25">
      <c r="A31" s="34"/>
      <c r="B31" s="34"/>
    </row>
  </sheetData>
  <mergeCells count="1">
    <mergeCell ref="A1:D1"/>
  </mergeCells>
  <phoneticPr fontId="19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J43"/>
  <sheetViews>
    <sheetView tabSelected="1" workbookViewId="0">
      <selection activeCell="G29" sqref="G29"/>
    </sheetView>
  </sheetViews>
  <sheetFormatPr defaultColWidth="10" defaultRowHeight="15.6" x14ac:dyDescent="0.25"/>
  <cols>
    <col min="1" max="1" width="45.77734375" style="5" customWidth="1"/>
    <col min="2" max="2" width="19.44140625" style="6" hidden="1" customWidth="1"/>
    <col min="3" max="3" width="24.109375" style="1" customWidth="1"/>
    <col min="4" max="4" width="20.5546875" style="1" customWidth="1"/>
    <col min="5" max="218" width="10" style="1"/>
    <col min="219" max="16384" width="10" style="7"/>
  </cols>
  <sheetData>
    <row r="1" spans="1:4" s="1" customFormat="1" ht="30.75" customHeight="1" x14ac:dyDescent="0.25">
      <c r="A1" s="74" t="s">
        <v>107</v>
      </c>
      <c r="B1" s="74"/>
      <c r="C1" s="74"/>
      <c r="D1" s="74"/>
    </row>
    <row r="2" spans="1:4" s="2" customFormat="1" ht="15" customHeight="1" x14ac:dyDescent="0.25">
      <c r="A2" s="2" t="s">
        <v>1</v>
      </c>
      <c r="B2" s="8"/>
      <c r="C2" s="2" t="s">
        <v>145</v>
      </c>
      <c r="D2" s="67" t="s">
        <v>144</v>
      </c>
    </row>
    <row r="3" spans="1:4" s="3" customFormat="1" ht="17.100000000000001" customHeight="1" x14ac:dyDescent="0.25">
      <c r="A3" s="9" t="s">
        <v>108</v>
      </c>
      <c r="B3" s="10">
        <v>2023.12</v>
      </c>
      <c r="C3" s="70" t="s">
        <v>143</v>
      </c>
      <c r="D3" s="70" t="s">
        <v>146</v>
      </c>
    </row>
    <row r="4" spans="1:4" s="3" customFormat="1" ht="17.100000000000001" customHeight="1" x14ac:dyDescent="0.25">
      <c r="A4" s="11" t="s">
        <v>109</v>
      </c>
      <c r="B4" s="12"/>
      <c r="C4" s="13"/>
      <c r="D4" s="13"/>
    </row>
    <row r="5" spans="1:4" s="3" customFormat="1" ht="17.100000000000001" customHeight="1" x14ac:dyDescent="0.25">
      <c r="A5" s="14" t="s">
        <v>110</v>
      </c>
      <c r="B5" s="15"/>
      <c r="C5" s="15">
        <v>1300000</v>
      </c>
      <c r="D5" s="15">
        <v>13582.25</v>
      </c>
    </row>
    <row r="6" spans="1:4" s="3" customFormat="1" ht="17.100000000000001" customHeight="1" x14ac:dyDescent="0.25">
      <c r="A6" s="14" t="s">
        <v>111</v>
      </c>
      <c r="B6" s="15">
        <v>1500</v>
      </c>
      <c r="C6" s="15">
        <v>11515.41</v>
      </c>
      <c r="D6" s="15">
        <v>50788.283747000001</v>
      </c>
    </row>
    <row r="7" spans="1:4" s="3" customFormat="1" ht="17.100000000000001" customHeight="1" x14ac:dyDescent="0.25">
      <c r="A7" s="14" t="s">
        <v>112</v>
      </c>
      <c r="B7" s="15">
        <v>4244442.82</v>
      </c>
      <c r="C7" s="15">
        <v>39626418.186318003</v>
      </c>
      <c r="D7" s="15">
        <v>7535504.2158049997</v>
      </c>
    </row>
    <row r="8" spans="1:4" s="4" customFormat="1" ht="17.100000000000001" customHeight="1" x14ac:dyDescent="0.25">
      <c r="A8" s="11" t="s">
        <v>113</v>
      </c>
      <c r="B8" s="12">
        <f t="shared" ref="B8" si="0">B6+B7</f>
        <v>4245942.82</v>
      </c>
      <c r="C8" s="12">
        <f>C6+C7+C5</f>
        <v>40937933.596317999</v>
      </c>
      <c r="D8" s="12">
        <f>D6+D7+D5</f>
        <v>7599874.7495519994</v>
      </c>
    </row>
    <row r="9" spans="1:4" s="3" customFormat="1" ht="17.100000000000001" customHeight="1" x14ac:dyDescent="0.25">
      <c r="A9" s="14" t="s">
        <v>114</v>
      </c>
      <c r="B9" s="15">
        <v>95835.5</v>
      </c>
      <c r="C9" s="15">
        <v>5162382.5600000005</v>
      </c>
      <c r="D9" s="15">
        <v>227194.9</v>
      </c>
    </row>
    <row r="10" spans="1:4" s="3" customFormat="1" ht="17.100000000000001" customHeight="1" x14ac:dyDescent="0.25">
      <c r="A10" s="14" t="s">
        <v>115</v>
      </c>
      <c r="B10" s="15">
        <v>2116504.5162539999</v>
      </c>
      <c r="C10" s="15">
        <v>22850259.854006</v>
      </c>
      <c r="D10" s="15">
        <v>13807388.989201</v>
      </c>
    </row>
    <row r="11" spans="1:4" s="3" customFormat="1" ht="17.100000000000001" customHeight="1" x14ac:dyDescent="0.25">
      <c r="A11" s="14" t="s">
        <v>116</v>
      </c>
      <c r="B11" s="15">
        <v>5071.41</v>
      </c>
      <c r="C11" s="15">
        <v>179064.75999999998</v>
      </c>
      <c r="D11" s="15">
        <v>128244.81</v>
      </c>
    </row>
    <row r="12" spans="1:4" s="3" customFormat="1" ht="17.100000000000001" customHeight="1" x14ac:dyDescent="0.25">
      <c r="A12" s="14" t="s">
        <v>117</v>
      </c>
      <c r="B12" s="15">
        <v>1458475.3313200001</v>
      </c>
      <c r="C12" s="15">
        <v>42364091.116669014</v>
      </c>
      <c r="D12" s="15">
        <v>17556949.173533998</v>
      </c>
    </row>
    <row r="13" spans="1:4" s="4" customFormat="1" ht="17.100000000000001" customHeight="1" x14ac:dyDescent="0.25">
      <c r="A13" s="11" t="s">
        <v>118</v>
      </c>
      <c r="B13" s="16">
        <f t="shared" ref="B13" si="1">SUM(B9:B12)</f>
        <v>3675886.7575740004</v>
      </c>
      <c r="C13" s="16">
        <f>C9+C10+C11+C12</f>
        <v>70555798.290675014</v>
      </c>
      <c r="D13" s="16">
        <f>D9+D10+D11+D12</f>
        <v>31719777.872735001</v>
      </c>
    </row>
    <row r="14" spans="1:4" s="4" customFormat="1" ht="17.100000000000001" customHeight="1" x14ac:dyDescent="0.25">
      <c r="A14" s="11" t="s">
        <v>119</v>
      </c>
      <c r="B14" s="16">
        <f t="shared" ref="B14" si="2">B8-B13</f>
        <v>570056.0624259999</v>
      </c>
      <c r="C14" s="16">
        <f>C8-C13</f>
        <v>-29617864.694357015</v>
      </c>
      <c r="D14" s="16">
        <f>D8-D13</f>
        <v>-24119903.123183001</v>
      </c>
    </row>
    <row r="15" spans="1:4" s="3" customFormat="1" ht="17.100000000000001" customHeight="1" x14ac:dyDescent="0.25">
      <c r="A15" s="14" t="s">
        <v>120</v>
      </c>
      <c r="B15" s="15">
        <v>0</v>
      </c>
      <c r="C15" s="15">
        <v>0</v>
      </c>
      <c r="D15" s="15">
        <v>0</v>
      </c>
    </row>
    <row r="16" spans="1:4" s="3" customFormat="1" ht="17.100000000000001" customHeight="1" x14ac:dyDescent="0.25">
      <c r="A16" s="14" t="s">
        <v>121</v>
      </c>
      <c r="B16" s="15">
        <v>0</v>
      </c>
      <c r="C16" s="15">
        <v>0</v>
      </c>
      <c r="D16" s="15">
        <v>0</v>
      </c>
    </row>
    <row r="17" spans="1:4" s="3" customFormat="1" ht="17.100000000000001" customHeight="1" x14ac:dyDescent="0.25">
      <c r="A17" s="14" t="s">
        <v>122</v>
      </c>
      <c r="B17" s="15">
        <v>0</v>
      </c>
      <c r="C17" s="15">
        <v>0</v>
      </c>
      <c r="D17" s="15">
        <v>0</v>
      </c>
    </row>
    <row r="18" spans="1:4" s="3" customFormat="1" ht="17.100000000000001" customHeight="1" x14ac:dyDescent="0.25">
      <c r="A18" s="14" t="s">
        <v>123</v>
      </c>
      <c r="B18" s="15">
        <v>0</v>
      </c>
      <c r="C18" s="15">
        <v>0</v>
      </c>
      <c r="D18" s="15">
        <v>0</v>
      </c>
    </row>
    <row r="19" spans="1:4" s="3" customFormat="1" ht="17.100000000000001" customHeight="1" x14ac:dyDescent="0.25">
      <c r="A19" s="14" t="s">
        <v>124</v>
      </c>
      <c r="B19" s="15">
        <v>0</v>
      </c>
      <c r="C19" s="15">
        <v>0</v>
      </c>
      <c r="D19" s="15">
        <v>0</v>
      </c>
    </row>
    <row r="20" spans="1:4" s="3" customFormat="1" ht="17.100000000000001" customHeight="1" x14ac:dyDescent="0.25">
      <c r="A20" s="11" t="s">
        <v>113</v>
      </c>
      <c r="B20" s="12">
        <f>SUM(B16:B19)</f>
        <v>0</v>
      </c>
      <c r="C20" s="15">
        <v>0</v>
      </c>
      <c r="D20" s="15">
        <v>0</v>
      </c>
    </row>
    <row r="21" spans="1:4" s="3" customFormat="1" ht="17.100000000000001" customHeight="1" x14ac:dyDescent="0.25">
      <c r="A21" s="14" t="s">
        <v>125</v>
      </c>
      <c r="B21" s="15">
        <v>23998</v>
      </c>
      <c r="C21" s="15">
        <v>218893.47999999998</v>
      </c>
      <c r="D21" s="15">
        <v>37613</v>
      </c>
    </row>
    <row r="22" spans="1:4" s="3" customFormat="1" ht="17.100000000000001" customHeight="1" x14ac:dyDescent="0.25">
      <c r="A22" s="14" t="s">
        <v>126</v>
      </c>
      <c r="B22" s="15">
        <v>0</v>
      </c>
      <c r="C22" s="15">
        <v>98278.65</v>
      </c>
      <c r="D22" s="15">
        <v>1008301.6</v>
      </c>
    </row>
    <row r="23" spans="1:4" s="3" customFormat="1" ht="17.100000000000001" customHeight="1" x14ac:dyDescent="0.25">
      <c r="A23" s="14" t="s">
        <v>127</v>
      </c>
      <c r="B23" s="15">
        <v>0</v>
      </c>
      <c r="C23" s="15">
        <v>0</v>
      </c>
      <c r="D23" s="15">
        <v>0</v>
      </c>
    </row>
    <row r="24" spans="1:4" s="3" customFormat="1" ht="17.100000000000001" customHeight="1" x14ac:dyDescent="0.25">
      <c r="A24" s="11" t="s">
        <v>118</v>
      </c>
      <c r="B24" s="16">
        <f t="shared" ref="B24" si="3">B21+B22+B23</f>
        <v>23998</v>
      </c>
      <c r="C24" s="16">
        <f>C21+C22+C23</f>
        <v>317172.13</v>
      </c>
      <c r="D24" s="16">
        <f>D21+D22+D23</f>
        <v>1045914.6</v>
      </c>
    </row>
    <row r="25" spans="1:4" s="4" customFormat="1" ht="17.100000000000001" customHeight="1" x14ac:dyDescent="0.25">
      <c r="A25" s="11" t="s">
        <v>128</v>
      </c>
      <c r="B25" s="12">
        <f t="shared" ref="B25" si="4">B20-B24</f>
        <v>-23998</v>
      </c>
      <c r="C25" s="12">
        <f>C20-C24</f>
        <v>-317172.13</v>
      </c>
      <c r="D25" s="12">
        <f>D20-D24</f>
        <v>-1045914.6</v>
      </c>
    </row>
    <row r="26" spans="1:4" s="3" customFormat="1" ht="17.100000000000001" customHeight="1" x14ac:dyDescent="0.25">
      <c r="A26" s="14" t="s">
        <v>129</v>
      </c>
      <c r="B26" s="15">
        <v>0</v>
      </c>
      <c r="C26" s="15">
        <v>0</v>
      </c>
      <c r="D26" s="15">
        <v>0</v>
      </c>
    </row>
    <row r="27" spans="1:4" s="3" customFormat="1" ht="17.100000000000001" customHeight="1" x14ac:dyDescent="0.25">
      <c r="A27" s="14" t="s">
        <v>130</v>
      </c>
      <c r="B27" s="15">
        <v>0</v>
      </c>
      <c r="C27" s="15">
        <v>0</v>
      </c>
      <c r="D27" s="15">
        <v>0</v>
      </c>
    </row>
    <row r="28" spans="1:4" s="3" customFormat="1" ht="17.100000000000001" customHeight="1" x14ac:dyDescent="0.25">
      <c r="A28" s="14" t="s">
        <v>131</v>
      </c>
      <c r="B28" s="15">
        <v>0</v>
      </c>
      <c r="C28" s="15">
        <v>29560000</v>
      </c>
      <c r="D28" s="15">
        <v>25412266.050000001</v>
      </c>
    </row>
    <row r="29" spans="1:4" s="3" customFormat="1" ht="17.100000000000001" customHeight="1" x14ac:dyDescent="0.25">
      <c r="A29" s="14" t="s">
        <v>132</v>
      </c>
      <c r="B29" s="15">
        <v>0</v>
      </c>
      <c r="C29" s="15">
        <v>0</v>
      </c>
      <c r="D29" s="15">
        <v>0</v>
      </c>
    </row>
    <row r="30" spans="1:4" s="3" customFormat="1" ht="17.100000000000001" customHeight="1" x14ac:dyDescent="0.25">
      <c r="A30" s="11" t="s">
        <v>113</v>
      </c>
      <c r="B30" s="12">
        <v>0</v>
      </c>
      <c r="C30" s="16">
        <f>SUM(C27:C29)</f>
        <v>29560000</v>
      </c>
      <c r="D30" s="16">
        <f>SUM(D27:D29)</f>
        <v>25412266.050000001</v>
      </c>
    </row>
    <row r="31" spans="1:4" s="3" customFormat="1" ht="17.100000000000001" customHeight="1" x14ac:dyDescent="0.25">
      <c r="A31" s="14" t="s">
        <v>133</v>
      </c>
      <c r="B31" s="15">
        <v>0</v>
      </c>
      <c r="C31" s="15">
        <v>0</v>
      </c>
      <c r="D31" s="15">
        <v>54586.05</v>
      </c>
    </row>
    <row r="32" spans="1:4" s="3" customFormat="1" ht="17.100000000000001" customHeight="1" x14ac:dyDescent="0.25">
      <c r="A32" s="14" t="s">
        <v>134</v>
      </c>
      <c r="B32" s="15">
        <v>0</v>
      </c>
      <c r="C32" s="15">
        <v>0</v>
      </c>
      <c r="D32" s="15">
        <v>0</v>
      </c>
    </row>
    <row r="33" spans="1:4" s="3" customFormat="1" ht="17.100000000000001" customHeight="1" x14ac:dyDescent="0.25">
      <c r="A33" s="14" t="s">
        <v>135</v>
      </c>
      <c r="B33" s="15">
        <v>0</v>
      </c>
      <c r="C33" s="15">
        <v>0</v>
      </c>
      <c r="D33" s="15">
        <v>0</v>
      </c>
    </row>
    <row r="34" spans="1:4" s="3" customFormat="1" ht="17.100000000000001" customHeight="1" x14ac:dyDescent="0.25">
      <c r="A34" s="11" t="s">
        <v>118</v>
      </c>
      <c r="B34" s="12">
        <v>0</v>
      </c>
      <c r="C34" s="15">
        <f>C31+C32+C33</f>
        <v>0</v>
      </c>
      <c r="D34" s="12">
        <f>D31+D32+D33</f>
        <v>54586.05</v>
      </c>
    </row>
    <row r="35" spans="1:4" s="4" customFormat="1" ht="17.100000000000001" customHeight="1" x14ac:dyDescent="0.25">
      <c r="A35" s="11" t="s">
        <v>136</v>
      </c>
      <c r="B35" s="16">
        <v>0</v>
      </c>
      <c r="C35" s="16">
        <f>C30-C34</f>
        <v>29560000</v>
      </c>
      <c r="D35" s="16">
        <f>D30-D34</f>
        <v>25357680</v>
      </c>
    </row>
    <row r="36" spans="1:4" s="1" customFormat="1" ht="17.100000000000001" customHeight="1" x14ac:dyDescent="0.25">
      <c r="A36" s="14" t="s">
        <v>137</v>
      </c>
      <c r="B36" s="15">
        <v>9567.69</v>
      </c>
      <c r="C36" s="15">
        <v>-4215.0999999999995</v>
      </c>
      <c r="D36" s="15">
        <v>1541.1399999999996</v>
      </c>
    </row>
    <row r="37" spans="1:4" s="1" customFormat="1" ht="17.100000000000001" customHeight="1" x14ac:dyDescent="0.25">
      <c r="A37" s="14" t="s">
        <v>138</v>
      </c>
      <c r="B37" s="17">
        <f t="shared" ref="B37" si="5">B14+B25+B35+B36</f>
        <v>555625.75242599985</v>
      </c>
      <c r="C37" s="17">
        <v>-379251.93</v>
      </c>
      <c r="D37" s="17">
        <f>D14+D25+D35+D36-0.01</f>
        <v>193403.40681699768</v>
      </c>
    </row>
    <row r="38" spans="1:4" s="3" customFormat="1" ht="17.100000000000001" customHeight="1" x14ac:dyDescent="0.25">
      <c r="A38" s="18" t="s">
        <v>139</v>
      </c>
      <c r="B38" s="17">
        <v>1827520.52</v>
      </c>
      <c r="C38" s="15">
        <v>2383146.27</v>
      </c>
      <c r="D38" s="15">
        <v>2003894.34</v>
      </c>
    </row>
    <row r="39" spans="1:4" s="4" customFormat="1" ht="17.100000000000001" customHeight="1" x14ac:dyDescent="0.25">
      <c r="A39" s="19" t="s">
        <v>140</v>
      </c>
      <c r="B39" s="20">
        <f t="shared" ref="B39" si="6">B37+B38</f>
        <v>2383146.2724259999</v>
      </c>
      <c r="C39" s="20">
        <f>C37+C38</f>
        <v>2003894.34</v>
      </c>
      <c r="D39" s="20">
        <f>D37+D38</f>
        <v>2197297.7468169979</v>
      </c>
    </row>
    <row r="40" spans="1:4" s="1" customFormat="1" ht="17.100000000000001" customHeight="1" x14ac:dyDescent="0.25">
      <c r="A40" s="5"/>
      <c r="B40" s="6"/>
    </row>
    <row r="41" spans="1:4" s="1" customFormat="1" ht="17.100000000000001" customHeight="1" x14ac:dyDescent="0.25">
      <c r="A41" s="5"/>
      <c r="B41" s="6"/>
    </row>
    <row r="42" spans="1:4" s="1" customFormat="1" ht="17.100000000000001" customHeight="1" x14ac:dyDescent="0.25">
      <c r="A42" s="5"/>
      <c r="B42" s="6"/>
    </row>
    <row r="43" spans="1:4" s="1" customFormat="1" ht="17.100000000000001" customHeight="1" x14ac:dyDescent="0.25">
      <c r="A43" s="5"/>
      <c r="B43" s="6"/>
    </row>
  </sheetData>
  <mergeCells count="1">
    <mergeCell ref="A1:D1"/>
  </mergeCells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资产负债表</vt:lpstr>
      <vt:lpstr>利润表</vt:lpstr>
      <vt:lpstr>现金流量表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liu</dc:creator>
  <cp:lastModifiedBy>xin liu</cp:lastModifiedBy>
  <dcterms:created xsi:type="dcterms:W3CDTF">2023-05-12T11:15:00Z</dcterms:created>
  <dcterms:modified xsi:type="dcterms:W3CDTF">2026-01-09T07:35:49Z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B8CF1D87D10646ECA7D79A4FE5DA331F_12</vt:lpwstr>
  </property>
</Properties>
</file>
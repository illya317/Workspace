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gener\Desktop\财务报表\25年财报\"/>
    </mc:Choice>
  </mc:AlternateContent>
  <xr:revisionPtr revIDLastSave="0" documentId="13_ncr:1_{6E876131-4FEB-4EEC-B12E-8AFC9B96EDE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3" l="1"/>
  <c r="C14" i="3"/>
  <c r="C22" i="2"/>
  <c r="C20" i="2"/>
  <c r="C16" i="2"/>
  <c r="F37" i="1" l="1"/>
  <c r="G37" i="1"/>
  <c r="F18" i="1"/>
  <c r="F28" i="1" s="1"/>
  <c r="G18" i="1"/>
  <c r="G28" i="1" s="1"/>
  <c r="A2" i="3"/>
  <c r="C37" i="1"/>
  <c r="B37" i="1"/>
  <c r="E37" i="1"/>
  <c r="E18" i="1"/>
  <c r="E28" i="1" s="1"/>
  <c r="C17" i="1"/>
  <c r="B17" i="1"/>
  <c r="B38" i="1" l="1"/>
  <c r="C38" i="1"/>
  <c r="F38" i="1"/>
  <c r="E38" i="1"/>
  <c r="G38" i="1"/>
</calcChain>
</file>

<file path=xl/sharedStrings.xml><?xml version="1.0" encoding="utf-8"?>
<sst xmlns="http://schemas.openxmlformats.org/spreadsheetml/2006/main" count="152" uniqueCount="145">
  <si>
    <r>
      <rPr>
        <b/>
        <sz val="20"/>
        <rFont val="宋体"/>
        <family val="3"/>
        <charset val="134"/>
      </rPr>
      <t>资</t>
    </r>
    <r>
      <rPr>
        <b/>
        <sz val="20"/>
        <rFont val="Arial"/>
        <family val="2"/>
      </rPr>
      <t xml:space="preserve"> </t>
    </r>
    <r>
      <rPr>
        <b/>
        <sz val="20"/>
        <rFont val="宋体"/>
        <family val="3"/>
        <charset val="134"/>
      </rPr>
      <t>产</t>
    </r>
    <r>
      <rPr>
        <b/>
        <sz val="20"/>
        <rFont val="Arial"/>
        <family val="2"/>
      </rPr>
      <t xml:space="preserve"> </t>
    </r>
    <r>
      <rPr>
        <b/>
        <sz val="20"/>
        <rFont val="宋体"/>
        <family val="3"/>
        <charset val="134"/>
      </rPr>
      <t>负</t>
    </r>
    <r>
      <rPr>
        <b/>
        <sz val="20"/>
        <rFont val="Arial"/>
        <family val="2"/>
      </rPr>
      <t xml:space="preserve"> </t>
    </r>
    <r>
      <rPr>
        <b/>
        <sz val="20"/>
        <rFont val="宋体"/>
        <family val="3"/>
        <charset val="134"/>
      </rPr>
      <t>债</t>
    </r>
    <r>
      <rPr>
        <b/>
        <sz val="20"/>
        <rFont val="Arial"/>
        <family val="2"/>
      </rPr>
      <t xml:space="preserve"> </t>
    </r>
    <r>
      <rPr>
        <b/>
        <sz val="20"/>
        <rFont val="宋体"/>
        <family val="3"/>
        <charset val="134"/>
      </rPr>
      <t>表</t>
    </r>
  </si>
  <si>
    <r>
      <rPr>
        <sz val="11"/>
        <rFont val="宋体"/>
        <family val="3"/>
        <charset val="134"/>
      </rPr>
      <t>编制单位：上海悦通大药房有限公司</t>
    </r>
  </si>
  <si>
    <r>
      <rPr>
        <sz val="12"/>
        <rFont val="宋体"/>
        <family val="3"/>
        <charset val="134"/>
      </rPr>
      <t>单位：元</t>
    </r>
  </si>
  <si>
    <r>
      <rPr>
        <b/>
        <sz val="12"/>
        <rFont val="黑体"/>
        <family val="3"/>
        <charset val="134"/>
      </rPr>
      <t>资</t>
    </r>
    <r>
      <rPr>
        <b/>
        <sz val="12"/>
        <rFont val="Arial"/>
        <family val="2"/>
      </rPr>
      <t xml:space="preserve">    </t>
    </r>
    <r>
      <rPr>
        <b/>
        <sz val="12"/>
        <rFont val="黑体"/>
        <family val="3"/>
        <charset val="134"/>
      </rPr>
      <t>产</t>
    </r>
  </si>
  <si>
    <r>
      <rPr>
        <b/>
        <sz val="12"/>
        <rFont val="黑体"/>
        <family val="3"/>
        <charset val="134"/>
      </rPr>
      <t>负债及所有者权益（或股东权益）</t>
    </r>
  </si>
  <si>
    <r>
      <rPr>
        <b/>
        <sz val="10"/>
        <rFont val="宋体"/>
        <family val="3"/>
        <charset val="134"/>
      </rPr>
      <t>流动资产：</t>
    </r>
  </si>
  <si>
    <r>
      <rPr>
        <b/>
        <sz val="10"/>
        <rFont val="宋体"/>
        <family val="3"/>
        <charset val="134"/>
      </rPr>
      <t>流动负债：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</si>
  <si>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货币资金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</si>
  <si>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短期借款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</si>
  <si>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交易性金融资产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</si>
  <si>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交易性金融负债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</si>
  <si>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衍生金融资产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</si>
  <si>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衍生金融负债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</si>
  <si>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应收票据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</si>
  <si>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应付票据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</si>
  <si>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应收账款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</si>
  <si>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应付账款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</si>
  <si>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预付款项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</si>
  <si>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预收款项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</si>
  <si>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应收利息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</si>
  <si>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应付职工薪酬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</si>
  <si>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应收股利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</si>
  <si>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应交税费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</si>
  <si>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其他应收款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</si>
  <si>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应付利息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</si>
  <si>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存货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</si>
  <si>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应付股利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</si>
  <si>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一年内到期的非流动资产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</si>
  <si>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其他应付款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</si>
  <si>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其他流动资产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</si>
  <si>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一年内到期的非流动负债</t>
    </r>
  </si>
  <si>
    <r>
      <rPr>
        <b/>
        <sz val="10"/>
        <rFont val="宋体"/>
        <family val="3"/>
        <charset val="134"/>
      </rPr>
      <t>流动资产合计</t>
    </r>
  </si>
  <si>
    <r>
      <rPr>
        <sz val="10"/>
        <rFont val="Arial"/>
        <family val="2"/>
      </rPr>
      <t xml:space="preserve">     </t>
    </r>
    <r>
      <rPr>
        <sz val="10"/>
        <rFont val="宋体"/>
        <family val="3"/>
        <charset val="134"/>
      </rPr>
      <t>其他流动负债</t>
    </r>
  </si>
  <si>
    <r>
      <rPr>
        <b/>
        <sz val="10"/>
        <rFont val="宋体"/>
        <family val="3"/>
        <charset val="134"/>
      </rPr>
      <t>非流动资产：</t>
    </r>
  </si>
  <si>
    <r>
      <rPr>
        <b/>
        <sz val="10"/>
        <rFont val="宋体"/>
        <family val="3"/>
        <charset val="134"/>
      </rPr>
      <t>流动负债合计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</si>
  <si>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债权投资</t>
    </r>
  </si>
  <si>
    <r>
      <rPr>
        <b/>
        <sz val="10"/>
        <rFont val="宋体"/>
        <family val="3"/>
        <charset val="134"/>
      </rPr>
      <t>非流动负债：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</si>
  <si>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其他债权投资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</si>
  <si>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长期借款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</si>
  <si>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长期应收款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</si>
  <si>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应付债券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</si>
  <si>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长期股权投资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</si>
  <si>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长期应付款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</si>
  <si>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其他权益工具投资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</si>
  <si>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专项应付款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</si>
  <si>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其他非流动金融资产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</si>
  <si>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预计负债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</si>
  <si>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投资性房地产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</si>
  <si>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递延所得税负债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</si>
  <si>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固定资产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</si>
  <si>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其他非流动负债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</si>
  <si>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在建工程</t>
    </r>
  </si>
  <si>
    <r>
      <rPr>
        <b/>
        <sz val="10"/>
        <rFont val="宋体"/>
        <family val="3"/>
        <charset val="134"/>
      </rPr>
      <t>非流动负债合计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</si>
  <si>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固定资产清理</t>
    </r>
  </si>
  <si>
    <r>
      <rPr>
        <b/>
        <sz val="10"/>
        <rFont val="宋体"/>
        <family val="3"/>
        <charset val="134"/>
      </rPr>
      <t>负债合计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</si>
  <si>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生产性生物资产</t>
    </r>
  </si>
  <si>
    <r>
      <rPr>
        <b/>
        <sz val="10"/>
        <rFont val="宋体"/>
        <family val="3"/>
        <charset val="134"/>
      </rPr>
      <t>所有者权益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或股东权益</t>
    </r>
    <r>
      <rPr>
        <b/>
        <sz val="10"/>
        <rFont val="Arial"/>
        <family val="2"/>
      </rPr>
      <t>)</t>
    </r>
    <r>
      <rPr>
        <b/>
        <sz val="10"/>
        <rFont val="宋体"/>
        <family val="3"/>
        <charset val="134"/>
      </rPr>
      <t>：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</si>
  <si>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油气资产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</si>
  <si>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实收资本</t>
    </r>
    <r>
      <rPr>
        <sz val="10"/>
        <rFont val="Arial"/>
        <family val="2"/>
      </rPr>
      <t>(</t>
    </r>
    <r>
      <rPr>
        <sz val="10"/>
        <rFont val="宋体"/>
        <family val="3"/>
        <charset val="134"/>
      </rPr>
      <t>或股本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</si>
  <si>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无形资产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</si>
  <si>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其他权益工具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</si>
  <si>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开发支出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</si>
  <si>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资本公积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</si>
  <si>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商誉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</si>
  <si>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减：库存股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</si>
  <si>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长期待摊费用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</si>
  <si>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其他综合收益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</si>
  <si>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递延所得税资产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</si>
  <si>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盈余公积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</si>
  <si>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其他非流动资产</t>
    </r>
  </si>
  <si>
    <r>
      <rPr>
        <sz val="10"/>
        <rFont val="Arial"/>
        <family val="2"/>
      </rPr>
      <t xml:space="preserve">    </t>
    </r>
    <r>
      <rPr>
        <sz val="10"/>
        <rFont val="宋体"/>
        <family val="3"/>
        <charset val="134"/>
      </rPr>
      <t>未分配利润</t>
    </r>
  </si>
  <si>
    <r>
      <rPr>
        <b/>
        <sz val="10"/>
        <rFont val="宋体"/>
        <family val="3"/>
        <charset val="134"/>
      </rPr>
      <t>非流动资产合计</t>
    </r>
  </si>
  <si>
    <r>
      <rPr>
        <b/>
        <sz val="10"/>
        <rFont val="宋体"/>
        <family val="3"/>
        <charset val="134"/>
      </rPr>
      <t>所有者权益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或股东权益</t>
    </r>
    <r>
      <rPr>
        <b/>
        <sz val="10"/>
        <rFont val="Arial"/>
        <family val="2"/>
      </rPr>
      <t>)</t>
    </r>
    <r>
      <rPr>
        <b/>
        <sz val="10"/>
        <rFont val="宋体"/>
        <family val="3"/>
        <charset val="134"/>
      </rPr>
      <t>合计</t>
    </r>
  </si>
  <si>
    <r>
      <rPr>
        <b/>
        <sz val="10"/>
        <rFont val="宋体"/>
        <family val="3"/>
        <charset val="134"/>
      </rPr>
      <t>资产总计</t>
    </r>
  </si>
  <si>
    <r>
      <rPr>
        <b/>
        <sz val="10"/>
        <rFont val="宋体"/>
        <family val="3"/>
        <charset val="134"/>
      </rPr>
      <t>负债和所有者权益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或股东权益</t>
    </r>
    <r>
      <rPr>
        <b/>
        <sz val="10"/>
        <rFont val="Arial"/>
        <family val="2"/>
      </rPr>
      <t>)</t>
    </r>
    <r>
      <rPr>
        <b/>
        <sz val="10"/>
        <rFont val="宋体"/>
        <family val="3"/>
        <charset val="134"/>
      </rPr>
      <t>总计</t>
    </r>
  </si>
  <si>
    <r>
      <rPr>
        <b/>
        <sz val="20"/>
        <color indexed="8"/>
        <rFont val="宋体"/>
        <family val="3"/>
        <charset val="134"/>
      </rPr>
      <t>利</t>
    </r>
    <r>
      <rPr>
        <b/>
        <sz val="20"/>
        <color indexed="8"/>
        <rFont val="Arial"/>
        <family val="2"/>
      </rPr>
      <t xml:space="preserve">  </t>
    </r>
    <r>
      <rPr>
        <b/>
        <sz val="20"/>
        <color indexed="8"/>
        <rFont val="宋体"/>
        <family val="3"/>
        <charset val="134"/>
      </rPr>
      <t>润</t>
    </r>
    <r>
      <rPr>
        <b/>
        <sz val="20"/>
        <color indexed="8"/>
        <rFont val="Arial"/>
        <family val="2"/>
      </rPr>
      <t xml:space="preserve">  </t>
    </r>
    <r>
      <rPr>
        <b/>
        <sz val="20"/>
        <color indexed="8"/>
        <rFont val="宋体"/>
        <family val="3"/>
        <charset val="134"/>
      </rPr>
      <t>表</t>
    </r>
  </si>
  <si>
    <r>
      <rPr>
        <sz val="11"/>
        <color indexed="8"/>
        <rFont val="宋体"/>
        <family val="3"/>
        <charset val="134"/>
      </rPr>
      <t>编制单位：上海悦通大药房有限公司</t>
    </r>
  </si>
  <si>
    <r>
      <rPr>
        <sz val="11"/>
        <rFont val="宋体"/>
        <family val="3"/>
        <charset val="134"/>
      </rPr>
      <t>单位：元</t>
    </r>
  </si>
  <si>
    <r>
      <rPr>
        <b/>
        <sz val="12"/>
        <color indexed="8"/>
        <rFont val="宋体"/>
        <family val="3"/>
        <charset val="134"/>
      </rPr>
      <t>项</t>
    </r>
    <r>
      <rPr>
        <b/>
        <sz val="12"/>
        <color indexed="8"/>
        <rFont val="Arial"/>
        <family val="2"/>
      </rPr>
      <t xml:space="preserve">       </t>
    </r>
    <r>
      <rPr>
        <b/>
        <sz val="12"/>
        <color indexed="8"/>
        <rFont val="宋体"/>
        <family val="3"/>
        <charset val="134"/>
      </rPr>
      <t>目</t>
    </r>
  </si>
  <si>
    <r>
      <rPr>
        <b/>
        <sz val="12"/>
        <color indexed="8"/>
        <rFont val="宋体"/>
        <family val="3"/>
        <charset val="134"/>
      </rPr>
      <t>一、营业收入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</si>
  <si>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减：营业成本</t>
    </r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</si>
  <si>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税金及附加</t>
    </r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</si>
  <si>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销售费用</t>
    </r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</si>
  <si>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管理费用</t>
    </r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</si>
  <si>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研发费用</t>
    </r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</si>
  <si>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财务费用</t>
    </r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</si>
  <si>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信用减值损失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</si>
  <si>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加：公允价值变动收益（损失以</t>
    </r>
    <r>
      <rPr>
        <sz val="12"/>
        <rFont val="Arial"/>
        <family val="2"/>
      </rPr>
      <t>"-"</t>
    </r>
    <r>
      <rPr>
        <sz val="12"/>
        <rFont val="宋体"/>
        <family val="3"/>
        <charset val="134"/>
      </rPr>
      <t>填列）</t>
    </r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</si>
  <si>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投资收益（损失以</t>
    </r>
    <r>
      <rPr>
        <sz val="12"/>
        <rFont val="Arial"/>
        <family val="2"/>
      </rPr>
      <t>"-"</t>
    </r>
    <r>
      <rPr>
        <sz val="12"/>
        <rFont val="宋体"/>
        <family val="3"/>
        <charset val="134"/>
      </rPr>
      <t>填列）</t>
    </r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</si>
  <si>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其中：对联营企业和合营企业的投资收益</t>
    </r>
  </si>
  <si>
    <r>
      <rPr>
        <sz val="12"/>
        <rFont val="Arial"/>
        <family val="2"/>
      </rPr>
      <t xml:space="preserve">        </t>
    </r>
    <r>
      <rPr>
        <sz val="12"/>
        <rFont val="宋体"/>
        <family val="3"/>
        <charset val="134"/>
      </rPr>
      <t>其他收益</t>
    </r>
  </si>
  <si>
    <r>
      <rPr>
        <b/>
        <sz val="12"/>
        <color indexed="8"/>
        <rFont val="宋体"/>
        <family val="3"/>
        <charset val="134"/>
      </rPr>
      <t>二、营业利润（亏损以</t>
    </r>
    <r>
      <rPr>
        <b/>
        <sz val="12"/>
        <color indexed="8"/>
        <rFont val="Arial"/>
        <family val="2"/>
      </rPr>
      <t>"</t>
    </r>
    <r>
      <rPr>
        <b/>
        <sz val="12"/>
        <color indexed="8"/>
        <rFont val="宋体"/>
        <family val="3"/>
        <charset val="134"/>
      </rPr>
      <t>－</t>
    </r>
    <r>
      <rPr>
        <b/>
        <sz val="12"/>
        <color indexed="8"/>
        <rFont val="Arial"/>
        <family val="2"/>
      </rPr>
      <t>"</t>
    </r>
    <r>
      <rPr>
        <b/>
        <sz val="12"/>
        <color indexed="8"/>
        <rFont val="宋体"/>
        <family val="3"/>
        <charset val="134"/>
      </rPr>
      <t>号填列）</t>
    </r>
  </si>
  <si>
    <r>
      <rPr>
        <sz val="12"/>
        <color indexed="8"/>
        <rFont val="Arial"/>
        <family val="2"/>
      </rPr>
      <t xml:space="preserve">    </t>
    </r>
    <r>
      <rPr>
        <sz val="12"/>
        <color indexed="8"/>
        <rFont val="宋体"/>
        <family val="3"/>
        <charset val="134"/>
      </rPr>
      <t>加：营业外收入</t>
    </r>
  </si>
  <si>
    <r>
      <rPr>
        <sz val="12"/>
        <color indexed="8"/>
        <rFont val="Arial"/>
        <family val="2"/>
      </rPr>
      <t xml:space="preserve">    </t>
    </r>
    <r>
      <rPr>
        <sz val="12"/>
        <color indexed="8"/>
        <rFont val="宋体"/>
        <family val="3"/>
        <charset val="134"/>
      </rPr>
      <t>减：营业外支出</t>
    </r>
  </si>
  <si>
    <r>
      <rPr>
        <sz val="12"/>
        <color indexed="8"/>
        <rFont val="Arial"/>
        <family val="2"/>
      </rPr>
      <t xml:space="preserve">    </t>
    </r>
    <r>
      <rPr>
        <sz val="12"/>
        <color indexed="8"/>
        <rFont val="宋体"/>
        <family val="3"/>
        <charset val="134"/>
      </rPr>
      <t>其中：非流动资产处置损失</t>
    </r>
  </si>
  <si>
    <r>
      <rPr>
        <b/>
        <sz val="12"/>
        <color indexed="8"/>
        <rFont val="宋体"/>
        <family val="3"/>
        <charset val="134"/>
      </rPr>
      <t>三、利润总额（亏损总额以</t>
    </r>
    <r>
      <rPr>
        <b/>
        <sz val="12"/>
        <color indexed="8"/>
        <rFont val="Arial"/>
        <family val="2"/>
      </rPr>
      <t>"</t>
    </r>
    <r>
      <rPr>
        <b/>
        <sz val="12"/>
        <color indexed="8"/>
        <rFont val="宋体"/>
        <family val="3"/>
        <charset val="134"/>
      </rPr>
      <t>－</t>
    </r>
    <r>
      <rPr>
        <b/>
        <sz val="12"/>
        <color indexed="8"/>
        <rFont val="Arial"/>
        <family val="2"/>
      </rPr>
      <t>"</t>
    </r>
    <r>
      <rPr>
        <b/>
        <sz val="12"/>
        <color indexed="8"/>
        <rFont val="宋体"/>
        <family val="3"/>
        <charset val="134"/>
      </rPr>
      <t>号填列）</t>
    </r>
  </si>
  <si>
    <r>
      <rPr>
        <sz val="12"/>
        <color indexed="8"/>
        <rFont val="Arial"/>
        <family val="2"/>
      </rPr>
      <t xml:space="preserve">    </t>
    </r>
    <r>
      <rPr>
        <sz val="12"/>
        <color indexed="8"/>
        <rFont val="宋体"/>
        <family val="3"/>
        <charset val="134"/>
      </rPr>
      <t>减：所得税费用</t>
    </r>
  </si>
  <si>
    <r>
      <rPr>
        <b/>
        <sz val="12"/>
        <color indexed="8"/>
        <rFont val="宋体"/>
        <family val="3"/>
        <charset val="134"/>
      </rPr>
      <t>四、净利润（净亏损以</t>
    </r>
    <r>
      <rPr>
        <b/>
        <sz val="12"/>
        <color indexed="8"/>
        <rFont val="Arial"/>
        <family val="2"/>
      </rPr>
      <t>"</t>
    </r>
    <r>
      <rPr>
        <b/>
        <sz val="12"/>
        <color indexed="8"/>
        <rFont val="宋体"/>
        <family val="3"/>
        <charset val="134"/>
      </rPr>
      <t>－</t>
    </r>
    <r>
      <rPr>
        <b/>
        <sz val="12"/>
        <color indexed="8"/>
        <rFont val="Arial"/>
        <family val="2"/>
      </rPr>
      <t>"</t>
    </r>
    <r>
      <rPr>
        <b/>
        <sz val="12"/>
        <color indexed="8"/>
        <rFont val="宋体"/>
        <family val="3"/>
        <charset val="134"/>
      </rPr>
      <t>号填列）</t>
    </r>
  </si>
  <si>
    <r>
      <rPr>
        <b/>
        <sz val="12"/>
        <color indexed="8"/>
        <rFont val="宋体"/>
        <family val="3"/>
        <charset val="134"/>
      </rPr>
      <t>五、每股收益：</t>
    </r>
  </si>
  <si>
    <r>
      <rPr>
        <sz val="12"/>
        <color indexed="8"/>
        <rFont val="宋体"/>
        <family val="3"/>
        <charset val="134"/>
      </rPr>
      <t>（一）基本每股收益</t>
    </r>
  </si>
  <si>
    <r>
      <rPr>
        <sz val="12"/>
        <color indexed="8"/>
        <rFont val="宋体"/>
        <family val="3"/>
        <charset val="134"/>
      </rPr>
      <t>（二）稀释每股收益</t>
    </r>
  </si>
  <si>
    <r>
      <rPr>
        <b/>
        <sz val="18"/>
        <color theme="1"/>
        <rFont val="宋体"/>
        <family val="3"/>
        <charset val="134"/>
      </rPr>
      <t>现金流量表</t>
    </r>
  </si>
  <si>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宋体"/>
        <family val="3"/>
        <charset val="134"/>
      </rPr>
      <t>单位：元</t>
    </r>
  </si>
  <si>
    <r>
      <rPr>
        <b/>
        <sz val="12"/>
        <rFont val="宋体"/>
        <family val="3"/>
        <charset val="134"/>
      </rPr>
      <t>项目</t>
    </r>
  </si>
  <si>
    <r>
      <rPr>
        <b/>
        <sz val="12"/>
        <rFont val="宋体"/>
        <family val="3"/>
        <charset val="134"/>
      </rPr>
      <t>一、经营活动产生的现金流量：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</si>
  <si>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销售商品、提供劳务收到的现金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</si>
  <si>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收到的税费返还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</si>
  <si>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收到的其他与经营活动有关的现金</t>
    </r>
  </si>
  <si>
    <r>
      <rPr>
        <b/>
        <sz val="12"/>
        <rFont val="宋体"/>
        <family val="3"/>
        <charset val="134"/>
      </rPr>
      <t>现金流入小计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</si>
  <si>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购买商品、接受劳务支付的现金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</si>
  <si>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支付给职工以及为职工支付的现金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</si>
  <si>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支付的各项税费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</si>
  <si>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支付的其他与经营活动有关的现金</t>
    </r>
  </si>
  <si>
    <r>
      <rPr>
        <b/>
        <sz val="12"/>
        <rFont val="宋体"/>
        <family val="3"/>
        <charset val="134"/>
      </rPr>
      <t>现金流出小计</t>
    </r>
  </si>
  <si>
    <r>
      <rPr>
        <b/>
        <sz val="12"/>
        <rFont val="Arial"/>
        <family val="2"/>
      </rPr>
      <t xml:space="preserve">    </t>
    </r>
    <r>
      <rPr>
        <b/>
        <sz val="12"/>
        <rFont val="宋体"/>
        <family val="3"/>
        <charset val="134"/>
      </rPr>
      <t>经营活动产生的现金流量净额</t>
    </r>
  </si>
  <si>
    <r>
      <rPr>
        <sz val="12"/>
        <rFont val="宋体"/>
        <family val="3"/>
        <charset val="134"/>
      </rPr>
      <t>二、投资活动产生的现金流量：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</si>
  <si>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收回投资所收到的现金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</si>
  <si>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取得投资收益所收到的现金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</si>
  <si>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处置固定资产、无形资产和其他长期资产所收回的现金净额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</si>
  <si>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收到的其他与投资活动有关的现金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</si>
  <si>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购建固定资产、无形资产和其他长期资产所支付的现金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</si>
  <si>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投资所支付的现金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</si>
  <si>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支付的其他与投资活动有关的现金</t>
    </r>
  </si>
  <si>
    <r>
      <rPr>
        <b/>
        <sz val="12"/>
        <rFont val="Arial"/>
        <family val="2"/>
      </rPr>
      <t xml:space="preserve">   </t>
    </r>
    <r>
      <rPr>
        <b/>
        <sz val="12"/>
        <rFont val="宋体"/>
        <family val="3"/>
        <charset val="134"/>
      </rPr>
      <t>投资活动产生的现金流量净额</t>
    </r>
  </si>
  <si>
    <r>
      <rPr>
        <sz val="12"/>
        <rFont val="宋体"/>
        <family val="3"/>
        <charset val="134"/>
      </rPr>
      <t>三、筹资活动产生的现金流量：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</si>
  <si>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吸收投资所收到的现金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</si>
  <si>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借款所收到的现金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</si>
  <si>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收到的其他与筹资活动有关的现金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</si>
  <si>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偿还债务所支付的现金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</si>
  <si>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分配股利、利润或偿付利息所支付的现金</t>
    </r>
  </si>
  <si>
    <r>
      <rPr>
        <sz val="12"/>
        <rFont val="Arial"/>
        <family val="2"/>
      </rPr>
      <t xml:space="preserve">    </t>
    </r>
    <r>
      <rPr>
        <sz val="12"/>
        <rFont val="宋体"/>
        <family val="3"/>
        <charset val="134"/>
      </rPr>
      <t>支付的其他与筹资活动有关的现金</t>
    </r>
  </si>
  <si>
    <r>
      <rPr>
        <b/>
        <sz val="12"/>
        <rFont val="Arial"/>
        <family val="2"/>
      </rPr>
      <t xml:space="preserve">    </t>
    </r>
    <r>
      <rPr>
        <b/>
        <sz val="12"/>
        <rFont val="宋体"/>
        <family val="3"/>
        <charset val="134"/>
      </rPr>
      <t>筹资活动产生的现金流量净额</t>
    </r>
  </si>
  <si>
    <r>
      <rPr>
        <sz val="12"/>
        <rFont val="宋体"/>
        <family val="3"/>
        <charset val="134"/>
      </rPr>
      <t>四、汇率变动对现金的影响</t>
    </r>
  </si>
  <si>
    <r>
      <rPr>
        <sz val="12"/>
        <rFont val="宋体"/>
        <family val="3"/>
        <charset val="134"/>
      </rPr>
      <t>五、现金及现金等价物净增加额</t>
    </r>
  </si>
  <si>
    <r>
      <rPr>
        <sz val="12"/>
        <color theme="1"/>
        <rFont val="宋体"/>
        <family val="3"/>
        <charset val="134"/>
      </rPr>
      <t>加：期初现金及现金等价物余额</t>
    </r>
  </si>
  <si>
    <r>
      <rPr>
        <b/>
        <sz val="12"/>
        <color theme="1"/>
        <rFont val="宋体"/>
        <family val="3"/>
        <charset val="134"/>
      </rPr>
      <t>期末现金及现金等价物余额</t>
    </r>
  </si>
  <si>
    <t>年初余额</t>
    <phoneticPr fontId="34" type="noConversion"/>
  </si>
  <si>
    <t>期末余额</t>
    <phoneticPr fontId="34" type="noConversion"/>
  </si>
  <si>
    <t>单位：元</t>
    <phoneticPr fontId="34" type="noConversion"/>
  </si>
  <si>
    <r>
      <t>2025</t>
    </r>
    <r>
      <rPr>
        <sz val="11"/>
        <rFont val="宋体"/>
        <family val="2"/>
        <charset val="134"/>
      </rPr>
      <t>年</t>
    </r>
    <phoneticPr fontId="34" type="noConversion"/>
  </si>
  <si>
    <r>
      <t>2025</t>
    </r>
    <r>
      <rPr>
        <sz val="10"/>
        <color rgb="FF000000"/>
        <rFont val="宋体"/>
        <family val="2"/>
        <charset val="134"/>
      </rPr>
      <t>年</t>
    </r>
    <phoneticPr fontId="34" type="noConversion"/>
  </si>
  <si>
    <r>
      <t>2024</t>
    </r>
    <r>
      <rPr>
        <b/>
        <sz val="12"/>
        <color rgb="FF000000"/>
        <rFont val="微软雅黑"/>
        <family val="2"/>
        <charset val="134"/>
      </rPr>
      <t>年</t>
    </r>
    <r>
      <rPr>
        <b/>
        <sz val="12"/>
        <color rgb="FF000000"/>
        <rFont val="宋体"/>
        <family val="2"/>
        <charset val="134"/>
      </rPr>
      <t>金额</t>
    </r>
    <phoneticPr fontId="34" type="noConversion"/>
  </si>
  <si>
    <r>
      <t>2025</t>
    </r>
    <r>
      <rPr>
        <b/>
        <sz val="12"/>
        <color rgb="FF000000"/>
        <rFont val="宋体"/>
        <family val="2"/>
        <charset val="134"/>
      </rPr>
      <t>年金额</t>
    </r>
    <phoneticPr fontId="34" type="noConversion"/>
  </si>
  <si>
    <r>
      <t>2024</t>
    </r>
    <r>
      <rPr>
        <b/>
        <sz val="12"/>
        <rFont val="微软雅黑"/>
        <family val="2"/>
        <charset val="134"/>
      </rPr>
      <t>年</t>
    </r>
    <r>
      <rPr>
        <b/>
        <sz val="12"/>
        <rFont val="宋体"/>
        <family val="2"/>
        <charset val="134"/>
      </rPr>
      <t>金额</t>
    </r>
    <phoneticPr fontId="34" type="noConversion"/>
  </si>
  <si>
    <t>2025金额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</si>
</sst>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0.00_);[Red]\(0.00\)"/>
    <numFmt numFmtId="177" formatCode="##,###.00"/>
    <numFmt numFmtId="178" formatCode="#,##0.00_);\(#,##0.00\)"/>
    <numFmt numFmtId="179" formatCode="#,##0.000000000000_ "/>
    <numFmt numFmtId="181" formatCode="[$-F800]dddd\,\ mmmm\ dd\,\ yyyy"/>
    <numFmt numFmtId="182" formatCode="#,##0.00000000000_ "/>
  </numFmts>
  <fonts count="42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宋体"/>
      <family val="3"/>
      <charset val="134"/>
    </font>
    <font>
      <b/>
      <sz val="20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12"/>
      <color indexed="12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name val="宋体"/>
      <family val="3"/>
      <charset val="134"/>
    </font>
    <font>
      <b/>
      <sz val="20"/>
      <color indexed="8"/>
      <name val="宋体"/>
      <family val="3"/>
      <charset val="134"/>
    </font>
    <font>
      <b/>
      <sz val="18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20"/>
      <name val="宋体"/>
      <family val="3"/>
      <charset val="134"/>
    </font>
    <font>
      <b/>
      <sz val="12"/>
      <name val="黑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rgb="FF000000"/>
      <name val="宋体"/>
      <family val="2"/>
      <charset val="134"/>
    </font>
    <font>
      <b/>
      <sz val="12"/>
      <name val="微软雅黑"/>
      <family val="2"/>
      <charset val="134"/>
    </font>
    <font>
      <sz val="12"/>
      <name val="宋体"/>
      <family val="2"/>
      <charset val="134"/>
    </font>
    <font>
      <sz val="11"/>
      <name val="宋体"/>
      <family val="2"/>
      <charset val="134"/>
    </font>
    <font>
      <sz val="10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2" applyFont="1" applyAlignment="1"/>
    <xf numFmtId="0" fontId="2" fillId="0" borderId="0" xfId="2" applyFont="1">
      <alignment vertical="center"/>
    </xf>
    <xf numFmtId="0" fontId="3" fillId="0" borderId="0" xfId="2" applyFont="1" applyAlignment="1"/>
    <xf numFmtId="0" fontId="4" fillId="0" borderId="0" xfId="2" applyFont="1" applyAlignment="1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0" xfId="2" applyFont="1" applyAlignment="1">
      <alignment horizontal="centerContinuous" vertical="center"/>
    </xf>
    <xf numFmtId="49" fontId="2" fillId="0" borderId="0" xfId="2" applyNumberFormat="1" applyFont="1">
      <alignment vertical="center"/>
    </xf>
    <xf numFmtId="0" fontId="8" fillId="0" borderId="1" xfId="2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8" fillId="0" borderId="1" xfId="2" applyFont="1" applyBorder="1">
      <alignment vertical="center"/>
    </xf>
    <xf numFmtId="0" fontId="6" fillId="0" borderId="1" xfId="2" applyFont="1" applyBorder="1">
      <alignment vertical="center"/>
    </xf>
    <xf numFmtId="43" fontId="4" fillId="0" borderId="1" xfId="1" applyFont="1" applyBorder="1" applyAlignment="1"/>
    <xf numFmtId="0" fontId="4" fillId="0" borderId="1" xfId="2" applyFont="1" applyBorder="1">
      <alignment vertical="center"/>
    </xf>
    <xf numFmtId="0" fontId="3" fillId="0" borderId="1" xfId="2" applyFont="1" applyBorder="1">
      <alignment vertical="center"/>
    </xf>
    <xf numFmtId="43" fontId="3" fillId="0" borderId="1" xfId="3" applyFont="1" applyBorder="1" applyAlignment="1">
      <alignment horizontal="center" vertical="center"/>
    </xf>
    <xf numFmtId="49" fontId="10" fillId="0" borderId="0" xfId="2" applyNumberFormat="1" applyFont="1" applyAlignment="1">
      <alignment horizontal="right" vertical="justify"/>
    </xf>
    <xf numFmtId="43" fontId="3" fillId="0" borderId="1" xfId="1" applyFont="1" applyBorder="1" applyAlignment="1"/>
    <xf numFmtId="0" fontId="6" fillId="0" borderId="0" xfId="0" applyFont="1">
      <alignment vertical="center"/>
    </xf>
    <xf numFmtId="176" fontId="9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Continuous" vertical="center"/>
    </xf>
    <xf numFmtId="0" fontId="13" fillId="0" borderId="0" xfId="0" applyFont="1">
      <alignment vertical="center"/>
    </xf>
    <xf numFmtId="49" fontId="13" fillId="0" borderId="0" xfId="0" applyNumberFormat="1" applyFont="1">
      <alignment vertical="center"/>
    </xf>
    <xf numFmtId="49" fontId="9" fillId="0" borderId="1" xfId="0" applyNumberFormat="1" applyFont="1" applyBorder="1" applyAlignment="1">
      <alignment horizontal="justify" vertical="center"/>
    </xf>
    <xf numFmtId="0" fontId="6" fillId="0" borderId="1" xfId="0" applyFont="1" applyBorder="1">
      <alignment vertical="center"/>
    </xf>
    <xf numFmtId="49" fontId="14" fillId="0" borderId="1" xfId="0" applyNumberFormat="1" applyFont="1" applyBorder="1" applyAlignment="1">
      <alignment horizontal="justify" vertical="center"/>
    </xf>
    <xf numFmtId="49" fontId="14" fillId="0" borderId="0" xfId="0" applyNumberFormat="1" applyFont="1" applyAlignment="1">
      <alignment horizontal="justify" vertical="center"/>
    </xf>
    <xf numFmtId="0" fontId="6" fillId="0" borderId="0" xfId="0" applyFont="1" applyAlignment="1">
      <alignment horizontal="centerContinuous" vertical="center"/>
    </xf>
    <xf numFmtId="49" fontId="2" fillId="0" borderId="0" xfId="0" applyNumberFormat="1" applyFont="1" applyAlignment="1">
      <alignment horizontal="right" vertical="justify"/>
    </xf>
    <xf numFmtId="43" fontId="6" fillId="0" borderId="1" xfId="1" applyFont="1" applyBorder="1" applyAlignment="1">
      <alignment horizontal="right" vertical="center"/>
    </xf>
    <xf numFmtId="43" fontId="15" fillId="0" borderId="1" xfId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43" fontId="9" fillId="0" borderId="1" xfId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Continuous" vertical="center"/>
    </xf>
    <xf numFmtId="49" fontId="2" fillId="0" borderId="0" xfId="0" applyNumberFormat="1" applyFont="1" applyAlignment="1">
      <alignment horizontal="left" vertical="justify"/>
    </xf>
    <xf numFmtId="49" fontId="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 applyProtection="1">
      <alignment vertical="center" wrapText="1"/>
      <protection locked="0"/>
    </xf>
    <xf numFmtId="177" fontId="18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 applyProtection="1">
      <alignment vertical="center" wrapText="1"/>
      <protection locked="0"/>
    </xf>
    <xf numFmtId="49" fontId="18" fillId="0" borderId="1" xfId="0" applyNumberFormat="1" applyFont="1" applyBorder="1" applyAlignment="1">
      <alignment horizontal="justify" vertical="center"/>
    </xf>
    <xf numFmtId="0" fontId="18" fillId="0" borderId="1" xfId="0" applyFont="1" applyBorder="1" applyProtection="1">
      <alignment vertical="center"/>
      <protection locked="0"/>
    </xf>
    <xf numFmtId="0" fontId="17" fillId="0" borderId="1" xfId="0" applyFont="1" applyBorder="1" applyAlignment="1" applyProtection="1">
      <alignment horizontal="left" vertical="center" wrapText="1"/>
      <protection locked="0"/>
    </xf>
    <xf numFmtId="177" fontId="17" fillId="0" borderId="1" xfId="0" applyNumberFormat="1" applyFont="1" applyBorder="1" applyAlignment="1">
      <alignment horizontal="right" vertical="center"/>
    </xf>
    <xf numFmtId="0" fontId="18" fillId="0" borderId="1" xfId="0" applyFont="1" applyBorder="1">
      <alignment vertical="center"/>
    </xf>
    <xf numFmtId="0" fontId="18" fillId="0" borderId="0" xfId="0" applyFont="1" applyAlignment="1" applyProtection="1">
      <alignment horizontal="left" vertical="center" wrapText="1"/>
      <protection locked="0"/>
    </xf>
    <xf numFmtId="49" fontId="2" fillId="0" borderId="0" xfId="0" applyNumberFormat="1" applyFont="1" applyAlignment="1">
      <alignment horizontal="center" vertical="justify"/>
    </xf>
    <xf numFmtId="49" fontId="2" fillId="0" borderId="0" xfId="0" applyNumberFormat="1" applyFont="1" applyAlignment="1">
      <alignment horizontal="justify" vertical="justify"/>
    </xf>
    <xf numFmtId="0" fontId="6" fillId="0" borderId="0" xfId="0" applyFont="1" applyAlignment="1">
      <alignment horizontal="justify" vertical="justify"/>
    </xf>
    <xf numFmtId="49" fontId="8" fillId="0" borderId="1" xfId="0" applyNumberFormat="1" applyFont="1" applyBorder="1" applyAlignment="1">
      <alignment horizontal="center" vertical="center" wrapText="1"/>
    </xf>
    <xf numFmtId="43" fontId="17" fillId="0" borderId="1" xfId="1" applyFont="1" applyBorder="1" applyAlignment="1">
      <alignment horizontal="right" vertical="center"/>
    </xf>
    <xf numFmtId="0" fontId="17" fillId="0" borderId="1" xfId="0" applyFont="1" applyBorder="1" applyAlignment="1" applyProtection="1">
      <alignment horizontal="left" vertical="center"/>
      <protection locked="0"/>
    </xf>
    <xf numFmtId="43" fontId="18" fillId="0" borderId="0" xfId="1" applyFont="1" applyAlignment="1">
      <alignment horizontal="right" vertical="center"/>
    </xf>
    <xf numFmtId="178" fontId="18" fillId="0" borderId="0" xfId="1" applyNumberFormat="1" applyFont="1" applyAlignment="1">
      <alignment horizontal="right" vertical="center"/>
    </xf>
    <xf numFmtId="179" fontId="6" fillId="0" borderId="0" xfId="0" applyNumberFormat="1" applyFont="1">
      <alignment vertical="center"/>
    </xf>
    <xf numFmtId="49" fontId="35" fillId="0" borderId="1" xfId="0" applyNumberFormat="1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0" fontId="39" fillId="0" borderId="0" xfId="0" applyFont="1" applyAlignment="1">
      <alignment horizontal="right" vertical="center"/>
    </xf>
    <xf numFmtId="181" fontId="2" fillId="0" borderId="0" xfId="0" applyNumberFormat="1" applyFont="1" applyAlignment="1">
      <alignment horizontal="justify" vertical="justify"/>
    </xf>
    <xf numFmtId="49" fontId="11" fillId="0" borderId="1" xfId="0" applyNumberFormat="1" applyFont="1" applyBorder="1" applyAlignment="1">
      <alignment horizontal="center" vertical="center"/>
    </xf>
    <xf numFmtId="182" fontId="6" fillId="0" borderId="0" xfId="0" applyNumberFormat="1" applyFont="1">
      <alignment vertical="center"/>
    </xf>
  </cellXfs>
  <cellStyles count="4">
    <cellStyle name="常规" xfId="0" builtinId="0"/>
    <cellStyle name="常规 2" xfId="2" xr:uid="{00000000-0005-0000-0000-000031000000}"/>
    <cellStyle name="千位分隔" xfId="1" builtinId="3"/>
    <cellStyle name="千位分隔 2" xfId="3" xr:uid="{00000000-0005-0000-0000-000032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pane xSplit="1" ySplit="3" topLeftCell="B26" activePane="bottomRight" state="frozen"/>
      <selection pane="topRight"/>
      <selection pane="bottomLeft"/>
      <selection pane="bottomRight" activeCell="I35" sqref="I35"/>
    </sheetView>
  </sheetViews>
  <sheetFormatPr defaultColWidth="9" defaultRowHeight="15" x14ac:dyDescent="0.25"/>
  <cols>
    <col min="1" max="1" width="22.6640625" style="19" customWidth="1"/>
    <col min="2" max="2" width="16.109375" style="19" customWidth="1"/>
    <col min="3" max="3" width="15.88671875" style="19" customWidth="1"/>
    <col min="4" max="4" width="22.109375" style="19" customWidth="1"/>
    <col min="5" max="5" width="15.33203125" style="19" customWidth="1"/>
    <col min="6" max="6" width="15.33203125" style="19" hidden="1" customWidth="1"/>
    <col min="7" max="7" width="17.109375" style="19"/>
    <col min="8" max="8" width="23.109375" style="19" bestFit="1" customWidth="1"/>
    <col min="9" max="9" width="23" style="19" bestFit="1" customWidth="1"/>
    <col min="10" max="16384" width="9" style="19"/>
  </cols>
  <sheetData>
    <row r="1" spans="1:7" ht="33.9" customHeight="1" x14ac:dyDescent="0.25">
      <c r="A1" s="35" t="s">
        <v>0</v>
      </c>
      <c r="B1" s="35"/>
      <c r="C1" s="35"/>
      <c r="D1" s="35"/>
      <c r="E1" s="28"/>
      <c r="F1" s="28"/>
    </row>
    <row r="2" spans="1:7" ht="15" customHeight="1" x14ac:dyDescent="0.25">
      <c r="A2" s="36" t="s">
        <v>1</v>
      </c>
      <c r="B2" s="36"/>
      <c r="C2" s="36"/>
      <c r="D2" s="59">
        <v>46022</v>
      </c>
      <c r="E2" s="33"/>
      <c r="F2" s="33" t="s">
        <v>2</v>
      </c>
      <c r="G2" s="58" t="s">
        <v>138</v>
      </c>
    </row>
    <row r="3" spans="1:7" ht="30" customHeight="1" x14ac:dyDescent="0.25">
      <c r="A3" s="37" t="s">
        <v>3</v>
      </c>
      <c r="B3" s="56" t="s">
        <v>136</v>
      </c>
      <c r="C3" s="57" t="s">
        <v>137</v>
      </c>
      <c r="D3" s="50" t="s">
        <v>4</v>
      </c>
      <c r="E3" s="56" t="s">
        <v>136</v>
      </c>
      <c r="F3" s="57" t="s">
        <v>137</v>
      </c>
      <c r="G3" s="57" t="s">
        <v>137</v>
      </c>
    </row>
    <row r="4" spans="1:7" ht="16.95" customHeight="1" x14ac:dyDescent="0.25">
      <c r="A4" s="38" t="s">
        <v>5</v>
      </c>
      <c r="B4" s="39"/>
      <c r="C4" s="39"/>
      <c r="D4" s="38" t="s">
        <v>6</v>
      </c>
      <c r="E4" s="39"/>
      <c r="F4" s="39"/>
      <c r="G4" s="25"/>
    </row>
    <row r="5" spans="1:7" ht="16.95" customHeight="1" x14ac:dyDescent="0.25">
      <c r="A5" s="40" t="s">
        <v>7</v>
      </c>
      <c r="B5" s="39">
        <v>246.89</v>
      </c>
      <c r="C5" s="39">
        <v>0</v>
      </c>
      <c r="D5" s="40" t="s">
        <v>8</v>
      </c>
      <c r="E5" s="39"/>
      <c r="F5" s="39"/>
      <c r="G5" s="25"/>
    </row>
    <row r="6" spans="1:7" ht="16.95" customHeight="1" x14ac:dyDescent="0.25">
      <c r="A6" s="40" t="s">
        <v>9</v>
      </c>
      <c r="B6" s="39"/>
      <c r="C6" s="39"/>
      <c r="D6" s="40" t="s">
        <v>10</v>
      </c>
      <c r="E6" s="39"/>
      <c r="F6" s="39"/>
      <c r="G6" s="25"/>
    </row>
    <row r="7" spans="1:7" ht="16.95" customHeight="1" x14ac:dyDescent="0.25">
      <c r="A7" s="40" t="s">
        <v>11</v>
      </c>
      <c r="B7" s="39"/>
      <c r="C7" s="39"/>
      <c r="D7" s="40" t="s">
        <v>12</v>
      </c>
      <c r="E7" s="39"/>
      <c r="F7" s="39"/>
      <c r="G7" s="25"/>
    </row>
    <row r="8" spans="1:7" ht="16.95" customHeight="1" x14ac:dyDescent="0.25">
      <c r="A8" s="40" t="s">
        <v>13</v>
      </c>
      <c r="B8" s="39"/>
      <c r="C8" s="39"/>
      <c r="D8" s="40" t="s">
        <v>14</v>
      </c>
      <c r="E8" s="39"/>
      <c r="F8" s="39"/>
      <c r="G8" s="25"/>
    </row>
    <row r="9" spans="1:7" ht="16.95" customHeight="1" x14ac:dyDescent="0.25">
      <c r="A9" s="40" t="s">
        <v>15</v>
      </c>
      <c r="B9" s="39"/>
      <c r="C9" s="39"/>
      <c r="D9" s="40" t="s">
        <v>16</v>
      </c>
      <c r="E9" s="39">
        <v>17.72</v>
      </c>
      <c r="F9" s="39"/>
      <c r="G9" s="39">
        <v>17.72</v>
      </c>
    </row>
    <row r="10" spans="1:7" ht="16.95" customHeight="1" x14ac:dyDescent="0.25">
      <c r="A10" s="40" t="s">
        <v>17</v>
      </c>
      <c r="B10" s="39"/>
      <c r="C10" s="39"/>
      <c r="D10" s="40" t="s">
        <v>18</v>
      </c>
      <c r="E10" s="39"/>
      <c r="F10" s="39"/>
      <c r="G10" s="25"/>
    </row>
    <row r="11" spans="1:7" ht="16.95" customHeight="1" x14ac:dyDescent="0.25">
      <c r="A11" s="41" t="s">
        <v>19</v>
      </c>
      <c r="B11" s="39"/>
      <c r="C11" s="39"/>
      <c r="D11" s="40" t="s">
        <v>20</v>
      </c>
      <c r="E11" s="39"/>
      <c r="F11" s="39"/>
      <c r="G11" s="25"/>
    </row>
    <row r="12" spans="1:7" ht="16.95" customHeight="1" x14ac:dyDescent="0.25">
      <c r="A12" s="41" t="s">
        <v>21</v>
      </c>
      <c r="B12" s="39"/>
      <c r="C12" s="39"/>
      <c r="D12" s="40" t="s">
        <v>22</v>
      </c>
      <c r="E12" s="39"/>
      <c r="F12" s="39"/>
      <c r="G12" s="25"/>
    </row>
    <row r="13" spans="1:7" ht="16.95" customHeight="1" x14ac:dyDescent="0.25">
      <c r="A13" s="40" t="s">
        <v>23</v>
      </c>
      <c r="B13" s="39"/>
      <c r="C13" s="39"/>
      <c r="D13" s="41" t="s">
        <v>24</v>
      </c>
      <c r="E13" s="39"/>
      <c r="F13" s="39"/>
      <c r="G13" s="25"/>
    </row>
    <row r="14" spans="1:7" ht="16.95" customHeight="1" x14ac:dyDescent="0.25">
      <c r="A14" s="40" t="s">
        <v>25</v>
      </c>
      <c r="B14" s="39"/>
      <c r="C14" s="39"/>
      <c r="D14" s="41" t="s">
        <v>26</v>
      </c>
      <c r="E14" s="39"/>
      <c r="F14" s="39"/>
      <c r="G14" s="25"/>
    </row>
    <row r="15" spans="1:7" ht="16.95" customHeight="1" x14ac:dyDescent="0.25">
      <c r="A15" s="42" t="s">
        <v>27</v>
      </c>
      <c r="B15" s="39"/>
      <c r="C15" s="39"/>
      <c r="D15" s="40" t="s">
        <v>28</v>
      </c>
      <c r="E15" s="39">
        <v>45543.33</v>
      </c>
      <c r="F15" s="39"/>
      <c r="G15" s="39">
        <v>48937.18</v>
      </c>
    </row>
    <row r="16" spans="1:7" ht="16.95" customHeight="1" x14ac:dyDescent="0.25">
      <c r="A16" s="40" t="s">
        <v>29</v>
      </c>
      <c r="B16" s="39">
        <v>95826.31</v>
      </c>
      <c r="C16" s="39">
        <v>95826.31</v>
      </c>
      <c r="D16" s="42" t="s">
        <v>30</v>
      </c>
      <c r="E16" s="39"/>
      <c r="F16" s="39"/>
      <c r="G16" s="25"/>
    </row>
    <row r="17" spans="1:7" ht="16.95" customHeight="1" x14ac:dyDescent="0.25">
      <c r="A17" s="43" t="s">
        <v>31</v>
      </c>
      <c r="B17" s="44">
        <f t="shared" ref="B17" si="0">SUM(B5:B16)</f>
        <v>96073.2</v>
      </c>
      <c r="C17" s="44">
        <f t="shared" ref="C17" si="1">SUM(C5:C16)</f>
        <v>95826.31</v>
      </c>
      <c r="D17" s="40" t="s">
        <v>32</v>
      </c>
      <c r="E17" s="39"/>
      <c r="F17" s="39"/>
      <c r="G17" s="25"/>
    </row>
    <row r="18" spans="1:7" ht="16.95" customHeight="1" x14ac:dyDescent="0.25">
      <c r="A18" s="38" t="s">
        <v>33</v>
      </c>
      <c r="B18" s="39"/>
      <c r="C18" s="39"/>
      <c r="D18" s="43" t="s">
        <v>34</v>
      </c>
      <c r="E18" s="44">
        <f t="shared" ref="E18" si="2">SUM(E5:E17)</f>
        <v>45561.05</v>
      </c>
      <c r="F18" s="44">
        <f t="shared" ref="F18:G18" si="3">SUM(F5:F17)</f>
        <v>0</v>
      </c>
      <c r="G18" s="44">
        <f t="shared" si="3"/>
        <v>48954.9</v>
      </c>
    </row>
    <row r="19" spans="1:7" ht="16.95" customHeight="1" x14ac:dyDescent="0.25">
      <c r="A19" s="40" t="s">
        <v>35</v>
      </c>
      <c r="B19" s="39"/>
      <c r="C19" s="39"/>
      <c r="D19" s="38" t="s">
        <v>36</v>
      </c>
      <c r="E19" s="39"/>
      <c r="F19" s="39"/>
      <c r="G19" s="25"/>
    </row>
    <row r="20" spans="1:7" ht="16.95" customHeight="1" x14ac:dyDescent="0.25">
      <c r="A20" s="40" t="s">
        <v>37</v>
      </c>
      <c r="B20" s="39"/>
      <c r="C20" s="39"/>
      <c r="D20" s="40" t="s">
        <v>38</v>
      </c>
      <c r="E20" s="39"/>
      <c r="F20" s="39"/>
      <c r="G20" s="25"/>
    </row>
    <row r="21" spans="1:7" ht="16.95" customHeight="1" x14ac:dyDescent="0.25">
      <c r="A21" s="40" t="s">
        <v>39</v>
      </c>
      <c r="B21" s="39"/>
      <c r="C21" s="39"/>
      <c r="D21" s="40" t="s">
        <v>40</v>
      </c>
      <c r="E21" s="39"/>
      <c r="F21" s="39"/>
      <c r="G21" s="25"/>
    </row>
    <row r="22" spans="1:7" ht="16.95" customHeight="1" x14ac:dyDescent="0.25">
      <c r="A22" s="40" t="s">
        <v>41</v>
      </c>
      <c r="B22" s="39"/>
      <c r="C22" s="39"/>
      <c r="D22" s="40" t="s">
        <v>42</v>
      </c>
      <c r="E22" s="39"/>
      <c r="F22" s="39"/>
      <c r="G22" s="25"/>
    </row>
    <row r="23" spans="1:7" ht="16.95" customHeight="1" x14ac:dyDescent="0.25">
      <c r="A23" s="40" t="s">
        <v>43</v>
      </c>
      <c r="B23" s="39"/>
      <c r="C23" s="39"/>
      <c r="D23" s="40" t="s">
        <v>44</v>
      </c>
      <c r="E23" s="39"/>
      <c r="F23" s="39"/>
      <c r="G23" s="25"/>
    </row>
    <row r="24" spans="1:7" ht="16.95" customHeight="1" x14ac:dyDescent="0.25">
      <c r="A24" s="40" t="s">
        <v>45</v>
      </c>
      <c r="B24" s="39"/>
      <c r="C24" s="39"/>
      <c r="D24" s="40" t="s">
        <v>46</v>
      </c>
      <c r="E24" s="39"/>
      <c r="F24" s="39"/>
      <c r="G24" s="25"/>
    </row>
    <row r="25" spans="1:7" ht="16.95" customHeight="1" x14ac:dyDescent="0.25">
      <c r="A25" s="40" t="s">
        <v>47</v>
      </c>
      <c r="B25" s="39"/>
      <c r="C25" s="39"/>
      <c r="D25" s="40" t="s">
        <v>48</v>
      </c>
      <c r="E25" s="39"/>
      <c r="F25" s="39"/>
      <c r="G25" s="25"/>
    </row>
    <row r="26" spans="1:7" ht="16.95" customHeight="1" x14ac:dyDescent="0.25">
      <c r="A26" s="40" t="s">
        <v>49</v>
      </c>
      <c r="B26" s="39">
        <v>6138.87</v>
      </c>
      <c r="C26" s="39">
        <v>6138.87</v>
      </c>
      <c r="D26" s="40" t="s">
        <v>50</v>
      </c>
      <c r="E26" s="39"/>
      <c r="F26" s="39"/>
      <c r="G26" s="25"/>
    </row>
    <row r="27" spans="1:7" ht="16.95" customHeight="1" x14ac:dyDescent="0.25">
      <c r="A27" s="40" t="s">
        <v>51</v>
      </c>
      <c r="B27" s="39"/>
      <c r="C27" s="39"/>
      <c r="D27" s="43" t="s">
        <v>52</v>
      </c>
      <c r="E27" s="51"/>
      <c r="F27" s="51"/>
      <c r="G27" s="25"/>
    </row>
    <row r="28" spans="1:7" ht="16.95" customHeight="1" x14ac:dyDescent="0.25">
      <c r="A28" s="45" t="s">
        <v>53</v>
      </c>
      <c r="B28" s="39"/>
      <c r="C28" s="39"/>
      <c r="D28" s="43" t="s">
        <v>54</v>
      </c>
      <c r="E28" s="44">
        <f t="shared" ref="E28" si="4">E18+E27</f>
        <v>45561.05</v>
      </c>
      <c r="F28" s="44">
        <f t="shared" ref="F28:G28" si="5">F18+F27</f>
        <v>0</v>
      </c>
      <c r="G28" s="44">
        <f t="shared" si="5"/>
        <v>48954.9</v>
      </c>
    </row>
    <row r="29" spans="1:7" ht="16.95" customHeight="1" x14ac:dyDescent="0.25">
      <c r="A29" s="40" t="s">
        <v>55</v>
      </c>
      <c r="B29" s="39"/>
      <c r="C29" s="39"/>
      <c r="D29" s="52" t="s">
        <v>56</v>
      </c>
      <c r="E29" s="39"/>
      <c r="F29" s="39"/>
      <c r="G29" s="25"/>
    </row>
    <row r="30" spans="1:7" ht="16.95" customHeight="1" x14ac:dyDescent="0.25">
      <c r="A30" s="40" t="s">
        <v>57</v>
      </c>
      <c r="B30" s="39"/>
      <c r="C30" s="39"/>
      <c r="D30" s="40" t="s">
        <v>58</v>
      </c>
      <c r="E30" s="39">
        <v>2000000</v>
      </c>
      <c r="F30" s="39">
        <v>2000000</v>
      </c>
      <c r="G30" s="39">
        <v>2000000</v>
      </c>
    </row>
    <row r="31" spans="1:7" ht="16.95" customHeight="1" x14ac:dyDescent="0.25">
      <c r="A31" s="40" t="s">
        <v>59</v>
      </c>
      <c r="B31" s="39"/>
      <c r="C31" s="39"/>
      <c r="D31" s="40" t="s">
        <v>60</v>
      </c>
      <c r="E31" s="39"/>
      <c r="F31" s="39"/>
      <c r="G31" s="25"/>
    </row>
    <row r="32" spans="1:7" ht="16.95" customHeight="1" x14ac:dyDescent="0.25">
      <c r="A32" s="40" t="s">
        <v>61</v>
      </c>
      <c r="B32" s="39"/>
      <c r="C32" s="39"/>
      <c r="D32" s="40" t="s">
        <v>62</v>
      </c>
      <c r="E32" s="39"/>
      <c r="F32" s="39"/>
      <c r="G32" s="25"/>
    </row>
    <row r="33" spans="1:9" ht="16.95" customHeight="1" x14ac:dyDescent="0.25">
      <c r="A33" s="40" t="s">
        <v>63</v>
      </c>
      <c r="B33" s="39"/>
      <c r="C33" s="39"/>
      <c r="D33" s="40" t="s">
        <v>64</v>
      </c>
      <c r="E33" s="39"/>
      <c r="F33" s="39"/>
      <c r="G33" s="25"/>
    </row>
    <row r="34" spans="1:9" ht="16.95" customHeight="1" x14ac:dyDescent="0.25">
      <c r="A34" s="40" t="s">
        <v>65</v>
      </c>
      <c r="B34" s="39"/>
      <c r="C34" s="39"/>
      <c r="D34" s="40" t="s">
        <v>66</v>
      </c>
      <c r="E34" s="39"/>
      <c r="F34" s="39"/>
      <c r="G34" s="25"/>
    </row>
    <row r="35" spans="1:9" ht="16.95" customHeight="1" x14ac:dyDescent="0.25">
      <c r="A35" s="40" t="s">
        <v>67</v>
      </c>
      <c r="B35" s="39"/>
      <c r="C35" s="39"/>
      <c r="D35" s="40" t="s">
        <v>68</v>
      </c>
      <c r="E35" s="39"/>
      <c r="F35" s="39"/>
      <c r="G35" s="25"/>
    </row>
    <row r="36" spans="1:9" ht="16.95" customHeight="1" x14ac:dyDescent="0.25">
      <c r="A36" s="40" t="s">
        <v>69</v>
      </c>
      <c r="B36" s="39"/>
      <c r="C36" s="39"/>
      <c r="D36" s="40" t="s">
        <v>70</v>
      </c>
      <c r="E36" s="39">
        <v>-1943348.98</v>
      </c>
      <c r="F36" s="39"/>
      <c r="G36" s="39">
        <v>-1946989.72</v>
      </c>
      <c r="H36" s="55"/>
      <c r="I36" s="61"/>
    </row>
    <row r="37" spans="1:9" ht="16.95" customHeight="1" x14ac:dyDescent="0.25">
      <c r="A37" s="43" t="s">
        <v>71</v>
      </c>
      <c r="B37" s="44">
        <f t="shared" ref="B37" si="6">SUM(B19:B36)</f>
        <v>6138.87</v>
      </c>
      <c r="C37" s="44">
        <f t="shared" ref="C37" si="7">SUM(C19:C36)</f>
        <v>6138.87</v>
      </c>
      <c r="D37" s="52" t="s">
        <v>72</v>
      </c>
      <c r="E37" s="44">
        <f t="shared" ref="E37" si="8">SUM(E30:E36)</f>
        <v>56651.020000000019</v>
      </c>
      <c r="F37" s="44">
        <f t="shared" ref="F37:G37" si="9">SUM(F30:F36)</f>
        <v>2000000</v>
      </c>
      <c r="G37" s="44">
        <f t="shared" si="9"/>
        <v>53010.280000000028</v>
      </c>
    </row>
    <row r="38" spans="1:9" ht="16.95" customHeight="1" x14ac:dyDescent="0.25">
      <c r="A38" s="43" t="s">
        <v>73</v>
      </c>
      <c r="B38" s="44">
        <f t="shared" ref="B38" si="10">B17+B37</f>
        <v>102212.06999999999</v>
      </c>
      <c r="C38" s="44">
        <f t="shared" ref="C38" si="11">C17+C37</f>
        <v>101965.18</v>
      </c>
      <c r="D38" s="52" t="s">
        <v>74</v>
      </c>
      <c r="E38" s="44">
        <f t="shared" ref="E38" si="12">E28+E37</f>
        <v>102212.07000000002</v>
      </c>
      <c r="F38" s="44">
        <f t="shared" ref="F38:G38" si="13">F28+F37</f>
        <v>2000000</v>
      </c>
      <c r="G38" s="44">
        <f t="shared" si="13"/>
        <v>101965.18000000002</v>
      </c>
    </row>
    <row r="39" spans="1:9" ht="16.95" customHeight="1" x14ac:dyDescent="0.25">
      <c r="A39" s="46"/>
      <c r="B39" s="47"/>
      <c r="C39" s="47"/>
      <c r="D39" s="47"/>
      <c r="E39" s="53"/>
      <c r="F39" s="53"/>
      <c r="G39" s="54"/>
    </row>
    <row r="40" spans="1:9" ht="15" customHeight="1" x14ac:dyDescent="0.25">
      <c r="A40" s="48"/>
    </row>
    <row r="41" spans="1:9" ht="15" customHeight="1" x14ac:dyDescent="0.25">
      <c r="A41" s="49"/>
      <c r="B41" s="49"/>
      <c r="C41" s="49"/>
      <c r="D41" s="49"/>
    </row>
  </sheetData>
  <phoneticPr fontId="34" type="noConversion"/>
  <pageMargins left="0" right="0" top="0.75138888888888899" bottom="0.75138888888888899" header="0.29861111111111099" footer="0.29861111111111099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xSplit="1" ySplit="3" topLeftCell="B4" activePane="bottomRight" state="frozen"/>
      <selection pane="topRight"/>
      <selection pane="bottomLeft"/>
      <selection pane="bottomRight" activeCell="G12" sqref="G12"/>
    </sheetView>
  </sheetViews>
  <sheetFormatPr defaultColWidth="9" defaultRowHeight="15.6" x14ac:dyDescent="0.25"/>
  <cols>
    <col min="1" max="1" width="49.6640625" style="19" customWidth="1"/>
    <col min="2" max="2" width="16.88671875" style="19" customWidth="1"/>
    <col min="3" max="3" width="16.88671875" style="20" customWidth="1"/>
    <col min="4" max="7" width="11.88671875" style="19" customWidth="1"/>
    <col min="8" max="8" width="12.109375" style="19" customWidth="1"/>
    <col min="9" max="16384" width="9" style="19"/>
  </cols>
  <sheetData>
    <row r="1" spans="1:4" ht="48.9" customHeight="1" x14ac:dyDescent="0.25">
      <c r="A1" s="21" t="s">
        <v>75</v>
      </c>
      <c r="B1" s="28"/>
      <c r="C1" s="21"/>
      <c r="D1" s="21"/>
    </row>
    <row r="2" spans="1:4" ht="15" customHeight="1" x14ac:dyDescent="0.25">
      <c r="A2" s="22" t="s">
        <v>76</v>
      </c>
      <c r="B2" s="29" t="s">
        <v>139</v>
      </c>
      <c r="C2" s="29" t="s">
        <v>77</v>
      </c>
      <c r="D2" s="23"/>
    </row>
    <row r="3" spans="1:4" ht="23.1" customHeight="1" x14ac:dyDescent="0.25">
      <c r="A3" s="10" t="s">
        <v>78</v>
      </c>
      <c r="B3" s="10" t="s">
        <v>141</v>
      </c>
      <c r="C3" s="10" t="s">
        <v>142</v>
      </c>
    </row>
    <row r="4" spans="1:4" ht="23.1" customHeight="1" x14ac:dyDescent="0.25">
      <c r="A4" s="24" t="s">
        <v>79</v>
      </c>
      <c r="B4" s="30">
        <v>0</v>
      </c>
      <c r="C4" s="34">
        <v>0</v>
      </c>
    </row>
    <row r="5" spans="1:4" ht="23.1" customHeight="1" x14ac:dyDescent="0.25">
      <c r="A5" s="25" t="s">
        <v>80</v>
      </c>
      <c r="B5" s="30">
        <v>0</v>
      </c>
      <c r="C5" s="34">
        <v>0</v>
      </c>
    </row>
    <row r="6" spans="1:4" ht="23.1" customHeight="1" x14ac:dyDescent="0.25">
      <c r="A6" s="25" t="s">
        <v>81</v>
      </c>
      <c r="B6" s="30">
        <v>0</v>
      </c>
      <c r="C6" s="34">
        <v>0</v>
      </c>
    </row>
    <row r="7" spans="1:4" ht="23.1" customHeight="1" x14ac:dyDescent="0.25">
      <c r="A7" s="25" t="s">
        <v>82</v>
      </c>
      <c r="B7" s="30">
        <v>0</v>
      </c>
      <c r="C7" s="34">
        <v>0</v>
      </c>
    </row>
    <row r="8" spans="1:4" ht="23.1" customHeight="1" x14ac:dyDescent="0.25">
      <c r="A8" s="25" t="s">
        <v>83</v>
      </c>
      <c r="B8" s="34">
        <v>3072.29</v>
      </c>
      <c r="C8" s="34">
        <v>3578.87</v>
      </c>
    </row>
    <row r="9" spans="1:4" ht="23.1" customHeight="1" x14ac:dyDescent="0.25">
      <c r="A9" s="25" t="s">
        <v>84</v>
      </c>
      <c r="B9" s="30">
        <v>0</v>
      </c>
      <c r="C9" s="34">
        <v>0</v>
      </c>
    </row>
    <row r="10" spans="1:4" ht="23.1" customHeight="1" x14ac:dyDescent="0.25">
      <c r="A10" s="25" t="s">
        <v>85</v>
      </c>
      <c r="B10" s="34">
        <v>1619.02</v>
      </c>
      <c r="C10" s="34">
        <v>-0.13</v>
      </c>
    </row>
    <row r="11" spans="1:4" ht="23.1" customHeight="1" x14ac:dyDescent="0.25">
      <c r="A11" s="25" t="s">
        <v>86</v>
      </c>
      <c r="B11" s="30">
        <v>0</v>
      </c>
      <c r="C11" s="34">
        <v>0</v>
      </c>
    </row>
    <row r="12" spans="1:4" ht="23.1" customHeight="1" x14ac:dyDescent="0.25">
      <c r="A12" s="25" t="s">
        <v>87</v>
      </c>
      <c r="B12" s="30">
        <v>0</v>
      </c>
      <c r="C12" s="34">
        <v>0</v>
      </c>
    </row>
    <row r="13" spans="1:4" ht="23.1" customHeight="1" x14ac:dyDescent="0.25">
      <c r="A13" s="25" t="s">
        <v>88</v>
      </c>
      <c r="B13" s="30">
        <v>0</v>
      </c>
      <c r="C13" s="34">
        <v>0</v>
      </c>
    </row>
    <row r="14" spans="1:4" ht="23.1" customHeight="1" x14ac:dyDescent="0.25">
      <c r="A14" s="25" t="s">
        <v>89</v>
      </c>
      <c r="B14" s="30">
        <v>0</v>
      </c>
      <c r="C14" s="34">
        <v>0</v>
      </c>
    </row>
    <row r="15" spans="1:4" ht="23.1" customHeight="1" x14ac:dyDescent="0.25">
      <c r="A15" s="25" t="s">
        <v>90</v>
      </c>
      <c r="B15" s="30">
        <v>0</v>
      </c>
      <c r="C15" s="34">
        <v>0</v>
      </c>
    </row>
    <row r="16" spans="1:4" ht="23.1" customHeight="1" x14ac:dyDescent="0.25">
      <c r="A16" s="24" t="s">
        <v>91</v>
      </c>
      <c r="B16" s="34">
        <v>-4691.3099999999995</v>
      </c>
      <c r="C16" s="34">
        <f>C4-C5-C6-C7-C8-C9-C10-C11+C12+C13+C15</f>
        <v>-3578.74</v>
      </c>
    </row>
    <row r="17" spans="1:3" ht="23.1" customHeight="1" x14ac:dyDescent="0.25">
      <c r="A17" s="26" t="s">
        <v>92</v>
      </c>
      <c r="B17" s="30">
        <v>0</v>
      </c>
      <c r="C17" s="34">
        <v>0</v>
      </c>
    </row>
    <row r="18" spans="1:3" ht="23.1" customHeight="1" x14ac:dyDescent="0.25">
      <c r="A18" s="26" t="s">
        <v>93</v>
      </c>
      <c r="B18" s="30">
        <v>0</v>
      </c>
      <c r="C18" s="34">
        <v>62</v>
      </c>
    </row>
    <row r="19" spans="1:3" ht="23.1" customHeight="1" x14ac:dyDescent="0.25">
      <c r="A19" s="26" t="s">
        <v>94</v>
      </c>
      <c r="B19" s="30">
        <v>0</v>
      </c>
      <c r="C19" s="34">
        <v>0</v>
      </c>
    </row>
    <row r="20" spans="1:3" ht="23.1" customHeight="1" x14ac:dyDescent="0.25">
      <c r="A20" s="24" t="s">
        <v>95</v>
      </c>
      <c r="B20" s="34">
        <v>-4691.3099999999995</v>
      </c>
      <c r="C20" s="34">
        <f>C16+C17-C18</f>
        <v>-3640.74</v>
      </c>
    </row>
    <row r="21" spans="1:3" ht="23.1" customHeight="1" x14ac:dyDescent="0.25">
      <c r="A21" s="26" t="s">
        <v>96</v>
      </c>
      <c r="B21" s="30">
        <v>0</v>
      </c>
      <c r="C21" s="34">
        <v>0</v>
      </c>
    </row>
    <row r="22" spans="1:3" ht="23.1" customHeight="1" x14ac:dyDescent="0.25">
      <c r="A22" s="24" t="s">
        <v>97</v>
      </c>
      <c r="B22" s="34">
        <v>-4691.3099999999995</v>
      </c>
      <c r="C22" s="34">
        <f>C20-C21</f>
        <v>-3640.74</v>
      </c>
    </row>
    <row r="23" spans="1:3" ht="23.1" customHeight="1" x14ac:dyDescent="0.25">
      <c r="A23" s="24" t="s">
        <v>98</v>
      </c>
      <c r="B23" s="30"/>
      <c r="C23" s="34">
        <v>0</v>
      </c>
    </row>
    <row r="24" spans="1:3" ht="23.1" customHeight="1" x14ac:dyDescent="0.25">
      <c r="A24" s="26" t="s">
        <v>99</v>
      </c>
      <c r="B24" s="30"/>
      <c r="C24" s="34">
        <v>0</v>
      </c>
    </row>
    <row r="25" spans="1:3" ht="23.1" customHeight="1" x14ac:dyDescent="0.25">
      <c r="A25" s="26" t="s">
        <v>100</v>
      </c>
      <c r="B25" s="31"/>
      <c r="C25" s="34">
        <v>0</v>
      </c>
    </row>
    <row r="26" spans="1:3" ht="23.1" customHeight="1" x14ac:dyDescent="0.25">
      <c r="A26" s="27"/>
      <c r="B26" s="32"/>
    </row>
    <row r="27" spans="1:3" ht="15" customHeight="1" x14ac:dyDescent="0.25">
      <c r="A27" s="27"/>
      <c r="B27" s="27"/>
    </row>
    <row r="33" spans="2:2" x14ac:dyDescent="0.25">
      <c r="B33" s="33"/>
    </row>
  </sheetData>
  <phoneticPr fontId="34" type="noConversion"/>
  <pageMargins left="0.7" right="0.7" top="0.75" bottom="0.75" header="0.3" footer="0.3"/>
  <pageSetup paperSize="9" scale="87" orientation="portrait" r:id="rId1"/>
  <colBreaks count="1" manualBreakCount="1">
    <brk id="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S43"/>
  <sheetViews>
    <sheetView tabSelected="1" workbookViewId="0">
      <pane xSplit="1" ySplit="3" topLeftCell="B26" activePane="bottomRight" state="frozen"/>
      <selection pane="topRight"/>
      <selection pane="bottomLeft"/>
      <selection pane="bottomRight" activeCell="E34" sqref="E34"/>
    </sheetView>
  </sheetViews>
  <sheetFormatPr defaultColWidth="10.21875" defaultRowHeight="15" x14ac:dyDescent="0.25"/>
  <cols>
    <col min="1" max="1" width="44.21875" style="5" customWidth="1"/>
    <col min="2" max="3" width="17" style="1" customWidth="1"/>
    <col min="4" max="227" width="10.21875" style="1"/>
    <col min="228" max="16384" width="10.21875" style="6"/>
  </cols>
  <sheetData>
    <row r="1" spans="1:3" s="1" customFormat="1" ht="34.799999999999997" customHeight="1" x14ac:dyDescent="0.25">
      <c r="A1" s="7" t="s">
        <v>101</v>
      </c>
      <c r="B1" s="7"/>
      <c r="C1" s="7"/>
    </row>
    <row r="2" spans="1:3" s="2" customFormat="1" ht="13.8" x14ac:dyDescent="0.25">
      <c r="A2" s="8" t="str">
        <f>资产负债表!A2</f>
        <v>编制单位：上海悦通大药房有限公司</v>
      </c>
      <c r="B2" s="17" t="s">
        <v>140</v>
      </c>
      <c r="C2" s="17" t="s">
        <v>102</v>
      </c>
    </row>
    <row r="3" spans="1:3" s="3" customFormat="1" ht="17.399999999999999" x14ac:dyDescent="0.3">
      <c r="A3" s="9" t="s">
        <v>103</v>
      </c>
      <c r="B3" s="9" t="s">
        <v>143</v>
      </c>
      <c r="C3" s="60" t="s">
        <v>144</v>
      </c>
    </row>
    <row r="4" spans="1:3" s="4" customFormat="1" ht="15.6" x14ac:dyDescent="0.3">
      <c r="A4" s="11" t="s">
        <v>104</v>
      </c>
      <c r="B4" s="18">
        <v>0</v>
      </c>
      <c r="C4" s="18">
        <v>0</v>
      </c>
    </row>
    <row r="5" spans="1:3" s="4" customFormat="1" ht="15.6" x14ac:dyDescent="0.3">
      <c r="A5" s="12" t="s">
        <v>105</v>
      </c>
      <c r="B5" s="18">
        <v>0</v>
      </c>
      <c r="C5" s="18">
        <v>0</v>
      </c>
    </row>
    <row r="6" spans="1:3" s="4" customFormat="1" ht="15.6" x14ac:dyDescent="0.3">
      <c r="A6" s="12" t="s">
        <v>106</v>
      </c>
      <c r="B6" s="18">
        <v>0</v>
      </c>
      <c r="C6" s="18">
        <v>0</v>
      </c>
    </row>
    <row r="7" spans="1:3" s="4" customFormat="1" ht="15.6" x14ac:dyDescent="0.3">
      <c r="A7" s="12" t="s">
        <v>107</v>
      </c>
      <c r="B7" s="18">
        <v>702.35</v>
      </c>
      <c r="C7" s="18">
        <v>3500.13</v>
      </c>
    </row>
    <row r="8" spans="1:3" s="3" customFormat="1" ht="15.6" x14ac:dyDescent="0.3">
      <c r="A8" s="11" t="s">
        <v>108</v>
      </c>
      <c r="B8" s="18">
        <v>702.35</v>
      </c>
      <c r="C8" s="18">
        <v>3500.13</v>
      </c>
    </row>
    <row r="9" spans="1:3" s="4" customFormat="1" ht="15.6" x14ac:dyDescent="0.3">
      <c r="A9" s="12" t="s">
        <v>109</v>
      </c>
      <c r="B9" s="18">
        <v>0</v>
      </c>
      <c r="C9" s="18">
        <v>0</v>
      </c>
    </row>
    <row r="10" spans="1:3" s="4" customFormat="1" ht="15.6" x14ac:dyDescent="0.3">
      <c r="A10" s="12" t="s">
        <v>110</v>
      </c>
      <c r="B10" s="18">
        <v>0</v>
      </c>
      <c r="C10" s="18">
        <v>0</v>
      </c>
    </row>
    <row r="11" spans="1:3" s="4" customFormat="1" ht="15.6" x14ac:dyDescent="0.3">
      <c r="A11" s="12" t="s">
        <v>111</v>
      </c>
      <c r="B11" s="18">
        <v>0</v>
      </c>
      <c r="C11" s="18">
        <v>0</v>
      </c>
    </row>
    <row r="12" spans="1:3" s="4" customFormat="1" ht="15.6" x14ac:dyDescent="0.3">
      <c r="A12" s="12" t="s">
        <v>112</v>
      </c>
      <c r="B12" s="18">
        <v>5544.0899999999992</v>
      </c>
      <c r="C12" s="18">
        <v>3747.02</v>
      </c>
    </row>
    <row r="13" spans="1:3" s="3" customFormat="1" ht="15.6" x14ac:dyDescent="0.3">
      <c r="A13" s="11" t="s">
        <v>113</v>
      </c>
      <c r="B13" s="18">
        <v>5544.0899999999992</v>
      </c>
      <c r="C13" s="18">
        <v>3747.02</v>
      </c>
    </row>
    <row r="14" spans="1:3" s="3" customFormat="1" ht="15.6" x14ac:dyDescent="0.3">
      <c r="A14" s="11" t="s">
        <v>114</v>
      </c>
      <c r="B14" s="18">
        <v>-4841.7399999999989</v>
      </c>
      <c r="C14" s="18">
        <f>C8-C13</f>
        <v>-246.88999999999987</v>
      </c>
    </row>
    <row r="15" spans="1:3" s="4" customFormat="1" ht="15.6" x14ac:dyDescent="0.3">
      <c r="A15" s="12" t="s">
        <v>115</v>
      </c>
      <c r="B15" s="18">
        <v>0</v>
      </c>
      <c r="C15" s="18">
        <v>0</v>
      </c>
    </row>
    <row r="16" spans="1:3" s="4" customFormat="1" ht="15.6" x14ac:dyDescent="0.3">
      <c r="A16" s="12" t="s">
        <v>116</v>
      </c>
      <c r="B16" s="18">
        <v>0</v>
      </c>
      <c r="C16" s="18">
        <v>0</v>
      </c>
    </row>
    <row r="17" spans="1:3" s="4" customFormat="1" ht="15.6" x14ac:dyDescent="0.3">
      <c r="A17" s="12" t="s">
        <v>117</v>
      </c>
      <c r="B17" s="18">
        <v>0</v>
      </c>
      <c r="C17" s="18">
        <v>0</v>
      </c>
    </row>
    <row r="18" spans="1:3" s="4" customFormat="1" ht="15.6" x14ac:dyDescent="0.3">
      <c r="A18" s="12" t="s">
        <v>118</v>
      </c>
      <c r="B18" s="18">
        <v>0</v>
      </c>
      <c r="C18" s="18">
        <v>0</v>
      </c>
    </row>
    <row r="19" spans="1:3" s="4" customFormat="1" ht="15.6" x14ac:dyDescent="0.3">
      <c r="A19" s="12" t="s">
        <v>119</v>
      </c>
      <c r="B19" s="18">
        <v>0</v>
      </c>
      <c r="C19" s="18">
        <v>0</v>
      </c>
    </row>
    <row r="20" spans="1:3" s="4" customFormat="1" ht="15.6" x14ac:dyDescent="0.3">
      <c r="A20" s="11" t="s">
        <v>108</v>
      </c>
      <c r="B20" s="18">
        <v>0</v>
      </c>
      <c r="C20" s="18">
        <v>0</v>
      </c>
    </row>
    <row r="21" spans="1:3" s="4" customFormat="1" ht="15.6" x14ac:dyDescent="0.3">
      <c r="A21" s="12" t="s">
        <v>120</v>
      </c>
      <c r="B21" s="18">
        <v>0</v>
      </c>
      <c r="C21" s="18">
        <v>0</v>
      </c>
    </row>
    <row r="22" spans="1:3" s="4" customFormat="1" ht="15.6" x14ac:dyDescent="0.3">
      <c r="A22" s="12" t="s">
        <v>121</v>
      </c>
      <c r="B22" s="18">
        <v>0</v>
      </c>
      <c r="C22" s="18">
        <v>0</v>
      </c>
    </row>
    <row r="23" spans="1:3" s="4" customFormat="1" ht="15.6" x14ac:dyDescent="0.3">
      <c r="A23" s="12" t="s">
        <v>122</v>
      </c>
      <c r="B23" s="18">
        <v>0</v>
      </c>
      <c r="C23" s="18">
        <v>0</v>
      </c>
    </row>
    <row r="24" spans="1:3" s="4" customFormat="1" ht="15.6" x14ac:dyDescent="0.3">
      <c r="A24" s="11" t="s">
        <v>113</v>
      </c>
      <c r="B24" s="18">
        <v>0</v>
      </c>
      <c r="C24" s="18">
        <v>0</v>
      </c>
    </row>
    <row r="25" spans="1:3" s="3" customFormat="1" ht="15.6" x14ac:dyDescent="0.3">
      <c r="A25" s="11" t="s">
        <v>123</v>
      </c>
      <c r="B25" s="18">
        <v>0</v>
      </c>
      <c r="C25" s="18">
        <v>0</v>
      </c>
    </row>
    <row r="26" spans="1:3" s="4" customFormat="1" ht="15.6" x14ac:dyDescent="0.3">
      <c r="A26" s="12" t="s">
        <v>124</v>
      </c>
      <c r="B26" s="18">
        <v>0</v>
      </c>
      <c r="C26" s="18">
        <v>0</v>
      </c>
    </row>
    <row r="27" spans="1:3" s="4" customFormat="1" ht="15.6" x14ac:dyDescent="0.3">
      <c r="A27" s="12" t="s">
        <v>125</v>
      </c>
      <c r="B27" s="18">
        <v>0</v>
      </c>
      <c r="C27" s="18">
        <v>0</v>
      </c>
    </row>
    <row r="28" spans="1:3" s="4" customFormat="1" ht="15.6" x14ac:dyDescent="0.3">
      <c r="A28" s="12" t="s">
        <v>126</v>
      </c>
      <c r="B28" s="18">
        <v>0</v>
      </c>
      <c r="C28" s="18">
        <v>0</v>
      </c>
    </row>
    <row r="29" spans="1:3" s="4" customFormat="1" ht="15.6" x14ac:dyDescent="0.3">
      <c r="A29" s="12" t="s">
        <v>127</v>
      </c>
      <c r="B29" s="18">
        <v>0</v>
      </c>
      <c r="C29" s="18">
        <v>0</v>
      </c>
    </row>
    <row r="30" spans="1:3" s="4" customFormat="1" ht="15.6" x14ac:dyDescent="0.3">
      <c r="A30" s="11" t="s">
        <v>108</v>
      </c>
      <c r="B30" s="18">
        <v>0</v>
      </c>
      <c r="C30" s="18">
        <v>0</v>
      </c>
    </row>
    <row r="31" spans="1:3" s="4" customFormat="1" ht="15.6" x14ac:dyDescent="0.3">
      <c r="A31" s="12" t="s">
        <v>128</v>
      </c>
      <c r="B31" s="18">
        <v>0</v>
      </c>
      <c r="C31" s="18">
        <v>0</v>
      </c>
    </row>
    <row r="32" spans="1:3" s="4" customFormat="1" ht="15.6" x14ac:dyDescent="0.3">
      <c r="A32" s="12" t="s">
        <v>129</v>
      </c>
      <c r="B32" s="18">
        <v>0</v>
      </c>
      <c r="C32" s="18">
        <v>0</v>
      </c>
    </row>
    <row r="33" spans="1:3" s="4" customFormat="1" ht="15.6" x14ac:dyDescent="0.3">
      <c r="A33" s="12" t="s">
        <v>130</v>
      </c>
      <c r="B33" s="18">
        <v>0</v>
      </c>
      <c r="C33" s="18">
        <v>0</v>
      </c>
    </row>
    <row r="34" spans="1:3" s="4" customFormat="1" ht="15.6" x14ac:dyDescent="0.3">
      <c r="A34" s="11" t="s">
        <v>113</v>
      </c>
      <c r="B34" s="18">
        <v>0</v>
      </c>
      <c r="C34" s="18">
        <v>0</v>
      </c>
    </row>
    <row r="35" spans="1:3" s="3" customFormat="1" ht="15.6" x14ac:dyDescent="0.3">
      <c r="A35" s="11" t="s">
        <v>131</v>
      </c>
      <c r="B35" s="18">
        <v>0</v>
      </c>
      <c r="C35" s="18">
        <v>0</v>
      </c>
    </row>
    <row r="36" spans="1:3" s="1" customFormat="1" ht="15.6" x14ac:dyDescent="0.3">
      <c r="A36" s="12" t="s">
        <v>132</v>
      </c>
      <c r="B36" s="18">
        <v>0</v>
      </c>
      <c r="C36" s="18">
        <v>0</v>
      </c>
    </row>
    <row r="37" spans="1:3" s="1" customFormat="1" ht="15.6" x14ac:dyDescent="0.3">
      <c r="A37" s="12" t="s">
        <v>133</v>
      </c>
      <c r="B37" s="18">
        <v>-4841.7399999999989</v>
      </c>
      <c r="C37" s="18">
        <v>-246.88999999999987</v>
      </c>
    </row>
    <row r="38" spans="1:3" s="4" customFormat="1" ht="15.6" x14ac:dyDescent="0.25">
      <c r="A38" s="14" t="s">
        <v>134</v>
      </c>
      <c r="B38" s="13">
        <v>5088.63</v>
      </c>
      <c r="C38" s="13">
        <v>246.89</v>
      </c>
    </row>
    <row r="39" spans="1:3" s="3" customFormat="1" ht="15.6" x14ac:dyDescent="0.3">
      <c r="A39" s="15" t="s">
        <v>135</v>
      </c>
      <c r="B39" s="16">
        <v>246.89000000000124</v>
      </c>
      <c r="C39" s="16">
        <f>C37+C38</f>
        <v>0</v>
      </c>
    </row>
    <row r="40" spans="1:3" s="1" customFormat="1" ht="17.100000000000001" customHeight="1" x14ac:dyDescent="0.25">
      <c r="A40" s="5"/>
    </row>
    <row r="41" spans="1:3" s="1" customFormat="1" ht="17.100000000000001" customHeight="1" x14ac:dyDescent="0.25">
      <c r="A41" s="5"/>
    </row>
    <row r="42" spans="1:3" s="1" customFormat="1" ht="17.100000000000001" customHeight="1" x14ac:dyDescent="0.25">
      <c r="A42" s="5"/>
    </row>
    <row r="43" spans="1:3" s="1" customFormat="1" ht="17.100000000000001" customHeight="1" x14ac:dyDescent="0.25">
      <c r="A43" s="5"/>
    </row>
  </sheetData>
  <phoneticPr fontId="34" type="noConversion"/>
  <pageMargins left="0.7" right="0.7" top="0.75" bottom="0.75" header="0.3" footer="0.3"/>
  <pageSetup paperSize="9" scale="8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liu</cp:lastModifiedBy>
  <dcterms:created xsi:type="dcterms:W3CDTF">2021-02-05T05:45:00Z</dcterms:created>
  <dcterms:modified xsi:type="dcterms:W3CDTF">2026-03-16T05:28:27Z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4D84C63C9AF2432E9FB7F5B126A0EAAF_13</vt:lpwstr>
  </property>
  <property fmtid="{D5CDD505-2E9C-101B-9397-08002B2CF9AE}" pid="4" name="commondata">
    <vt:lpwstr>eyJoZGlkIjoiYzYzNTYyYmQ3Y2IxYjJmMmQzMjMyYjJkY2EyNjRlMDUifQ==</vt:lpwstr>
  </property>
</Properties>
</file>